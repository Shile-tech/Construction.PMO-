
<file path=[Content_Types].xml><?xml version="1.0" encoding="utf-8"?>
<Types xmlns="http://schemas.openxmlformats.org/package/2006/content-type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hidePivotFieldList="1"/>
  <mc:AlternateContent xmlns:mc="http://schemas.openxmlformats.org/markup-compatibility/2006">
    <mc:Choice Requires="x15">
      <x15ac:absPath xmlns:x15ac="http://schemas.microsoft.com/office/spreadsheetml/2010/11/ac" url="C:\Users\user\Desktop\SQL DOCUMENTS\PORTFOLIO PROJECTS\Construction PMO\Excel Dashboard\"/>
    </mc:Choice>
  </mc:AlternateContent>
  <xr:revisionPtr revIDLastSave="0" documentId="8_{271778AF-3EB9-487D-98A5-63E84E08F16A}" xr6:coauthVersionLast="47" xr6:coauthVersionMax="47" xr10:uidLastSave="{00000000-0000-0000-0000-000000000000}"/>
  <bookViews>
    <workbookView xWindow="0" yWindow="0" windowWidth="19200" windowHeight="10200" tabRatio="827" xr2:uid="{00000000-000D-0000-FFFF-FFFF00000000}"/>
  </bookViews>
  <sheets>
    <sheet name="DASHBOARD " sheetId="25" r:id="rId1"/>
    <sheet name="CALCULATIONS" sheetId="13" r:id="rId2"/>
    <sheet name="Q1_Cost_Overrun" sheetId="17" r:id="rId3"/>
    <sheet name="Q2_Phase_Risk" sheetId="18" r:id="rId4"/>
    <sheet name="Q3_Contractor_Performance" sheetId="19" r:id="rId5"/>
    <sheet name="Q4_Risk_Flags" sheetId="20" r:id="rId6"/>
    <sheet name="Q5_Improvement_Areas" sheetId="21" r:id="rId7"/>
    <sheet name="Projects (cleaned data)" sheetId="2" r:id="rId8"/>
    <sheet name="Phase_Breakdown" sheetId="3" r:id="rId9"/>
    <sheet name="Contractor_Scorecard" sheetId="4" r:id="rId10"/>
    <sheet name="Data_Dictionary" sheetId="5" r:id="rId11"/>
    <sheet name="README" sheetId="1" r:id="rId12"/>
  </sheets>
  <definedNames>
    <definedName name="ExternalData_1" localSheetId="2" hidden="1">Q1_Cost_Overrun!$B$6:$H$16</definedName>
    <definedName name="ExternalData_1" localSheetId="3" hidden="1">Q2_Phase_Risk!$B$7:$E$13</definedName>
    <definedName name="ExternalData_1" localSheetId="4" hidden="1">Q3_Contractor_Performance!$B$7:$G$17</definedName>
    <definedName name="ExternalData_1" localSheetId="5" hidden="1">Q4_Risk_Flags!$B$4:$N$53</definedName>
    <definedName name="ExternalData_1" localSheetId="6" hidden="1">Q5_Improvement_Areas!$B$6:$E$24</definedName>
    <definedName name="Slicer_dimension">#N/A</definedName>
    <definedName name="Slicer_score_categ">#N/A</definedName>
    <definedName name="Slicer_status">#N/A</definedName>
  </definedNames>
  <calcPr calcId="191029" iterateDelta="1E-4"/>
  <pivotCaches>
    <pivotCache cacheId="0" r:id="rId13"/>
    <pivotCache cacheId="1" r:id="rId14"/>
    <pivotCache cacheId="2" r:id="rId15"/>
    <pivotCache cacheId="3" r:id="rId16"/>
    <pivotCache cacheId="4" r:id="rId17"/>
    <pivotCache cacheId="5"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2" i="2" l="1"/>
  <c r="M52" i="2"/>
  <c r="J52" i="2"/>
  <c r="P52" i="2"/>
  <c r="A7" i="17" a="1"/>
  <c r="A7" i="17" s="1"/>
  <c r="A8" i="19" a="1"/>
  <c r="A8" i="19" s="1"/>
  <c r="A5" i="20" a="1"/>
  <c r="A5" i="20" s="1"/>
  <c r="A7" i="21" a="1"/>
  <c r="A7" i="21" s="1"/>
  <c r="I11" i="4"/>
  <c r="I10" i="4"/>
  <c r="I9" i="4"/>
  <c r="I8" i="4"/>
  <c r="I7" i="4"/>
  <c r="I6" i="4"/>
  <c r="I5" i="4"/>
  <c r="I4" i="4"/>
  <c r="I3" i="4"/>
  <c r="I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AE2607-7B7E-45A0-8FDA-F96EA205F0F3}" keepAlive="1" name="Query - 1  projects by cost and schd overrun" description="Connection to the '1  projects by cost and schd overrun' query in the workbook." type="5" refreshedVersion="0" background="1">
    <dbPr connection="Provider=Microsoft.Mashup.OleDb.1;Data Source=$Workbook$;Location=&quot;1  projects by cost and schd overrun&quot;;Extended Properties=&quot;&quot;" command="SELECT * FROM [1  projects by cost and schd overrun]"/>
  </connection>
  <connection id="2" xr16:uid="{7A5B092D-2ABC-4B5F-8800-65E6835935A9}" keepAlive="1" name="Query - contractors perform" description="Connection to the 'contractors perform' query in the workbook." type="5" refreshedVersion="0" background="1">
    <dbPr connection="Provider=Microsoft.Mashup.OleDb.1;Data Source=$Workbook$;Location=&quot;contractors perform&quot;;Extended Properties=&quot;&quot;" command="SELECT * FROM [contractors perform]"/>
  </connection>
  <connection id="3" xr16:uid="{98E5F5E9-89DD-44AA-A20E-091D453A6C28}" keepAlive="1" name="Query - contractor's perform" description="Connection to the 'contractor's perform' query in the workbook." type="5" refreshedVersion="8" background="1" saveData="1">
    <dbPr connection="Provider=Microsoft.Mashup.OleDb.1;Data Source=$Workbook$;Location=&quot;contractor's perform&quot;;Extended Properties=&quot;&quot;" command="SELECT * FROM [contractor's perform]"/>
  </connection>
  <connection id="4" xr16:uid="{2E5465FB-547D-40A1-A07B-09BB8DCF752F}" keepAlive="1" name="Query - imprm  areas" description="Connection to the 'imprm  areas' query in the workbook." type="5" refreshedVersion="0" background="1">
    <dbPr connection="Provider=Microsoft.Mashup.OleDb.1;Data Source=$Workbook$;Location=&quot;imprm  areas&quot;;Extended Properties=&quot;&quot;" command="SELECT * FROM [imprm  areas]"/>
  </connection>
  <connection id="5" xr16:uid="{ED96D1E9-FA96-49C5-BB7E-9F2D78190AD7}" keepAlive="1" name="Query - improv  areas" description="Connection to the 'improv  areas' query in the workbook." type="5" refreshedVersion="8" background="1" saveData="1">
    <dbPr connection="Provider=Microsoft.Mashup.OleDb.1;Data Source=$Workbook$;Location=&quot;improv  areas&quot;;Extended Properties=&quot;&quot;" command="SELECT * FROM [improv  areas]"/>
  </connection>
  <connection id="6" xr16:uid="{55599725-651C-4A9F-9463-08693F3C19C5}" keepAlive="1" name="Query - phases overrun" description="Connection to the 'phases overrun' query in the workbook." type="5" refreshedVersion="0" background="1">
    <dbPr connection="Provider=Microsoft.Mashup.OleDb.1;Data Source=$Workbook$;Location=&quot;phases overrun&quot;;Extended Properties=&quot;&quot;" command="SELECT * FROM [phases overrun]"/>
  </connection>
  <connection id="7" xr16:uid="{7FA72533-F311-4349-A29E-ABB34D317DD1}" keepAlive="1" name="Query - phases overrun (2)" description="Connection to the 'phases overrun (2)' query in the workbook." type="5" refreshedVersion="8" background="1" saveData="1">
    <dbPr connection="Provider=Microsoft.Mashup.OleDb.1;Data Source=$Workbook$;Location=&quot;phases overrun (2)&quot;;Extended Properties=&quot;&quot;" command="SELECT * FROM [phases overrun (2)]"/>
  </connection>
  <connection id="8" xr16:uid="{61E05DF5-5582-44EA-811B-322A2A89C6E4}" keepAlive="1" name="Query - projects overrun" description="Connection to the 'projects overrun' query in the workbook." type="5" refreshedVersion="8" background="1" saveData="1">
    <dbPr connection="Provider=Microsoft.Mashup.OleDb.1;Data Source=$Workbook$;Location=&quot;projects overrun&quot;;Extended Properties=&quot;&quot;" command="SELECT * FROM [projects overrun]"/>
  </connection>
  <connection id="9" xr16:uid="{6234CE76-8701-477C-A4F0-983A87527826}" keepAlive="1" name="Query - risk flags" description="Connection to the 'risk flags' query in the workbook." type="5" refreshedVersion="0" background="1">
    <dbPr connection="Provider=Microsoft.Mashup.OleDb.1;Data Source=$Workbook$;Location=&quot;risk flags&quot;;Extended Properties=&quot;&quot;" command="SELECT * FROM [risk flags]"/>
  </connection>
  <connection id="10" xr16:uid="{D99CB154-09F2-4F12-979F-B79235DA79CB}" keepAlive="1" name="Query - risks flag" description="Connection to the 'risks flag' query in the workbook." type="5" refreshedVersion="8" background="1" saveData="1">
    <dbPr connection="Provider=Microsoft.Mashup.OleDb.1;Data Source=$Workbook$;Location=&quot;risks flag&quot;;Extended Properties=&quot;&quot;" command="SELECT * FROM [risks flag]"/>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<sst xmlns="http://schemas.openxmlformats.org/spreadsheetml/2006/main" count="1615" uniqueCount="293">
  <si>
    <t>🏗️  CONSTRUCTION PROJECT ANALYTICS DATASET</t>
  </si>
  <si>
    <t>Project Overview</t>
  </si>
  <si>
    <t>Purpose</t>
  </si>
  <si>
    <t>Realistic dataset simulating a Nigerian construction PMO with 50 projects across 10 states — designed to support end-to-end data analysis.</t>
  </si>
  <si>
    <t>Analyst</t>
  </si>
  <si>
    <t>Date Created</t>
  </si>
  <si>
    <t>Tool Used</t>
  </si>
  <si>
    <t>Microsoft Excel + SQL</t>
  </si>
  <si>
    <t>Sheet Guide</t>
  </si>
  <si>
    <t>1. Projects</t>
  </si>
  <si>
    <t>Master table — 50 projects with budget, cost, schedule &amp; status data</t>
  </si>
  <si>
    <t>2. Phase_Breakdown</t>
  </si>
  <si>
    <t>Per-phase cost breakdown for every project (6 phases × 50 projects)</t>
  </si>
  <si>
    <t>3. Contractor_Scorecard</t>
  </si>
  <si>
    <t>Aggregated contractor performance metrics</t>
  </si>
  <si>
    <t>4. Data_Dictionary</t>
  </si>
  <si>
    <t>Column definitions &amp; data types for all three tables</t>
  </si>
  <si>
    <t>Project_ID</t>
  </si>
  <si>
    <t>Project_Name</t>
  </si>
  <si>
    <t>Project_Type</t>
  </si>
  <si>
    <t>State</t>
  </si>
  <si>
    <t>Contractor</t>
  </si>
  <si>
    <t>Consultant</t>
  </si>
  <si>
    <t>Year_Start</t>
  </si>
  <si>
    <t>Budget_NGN</t>
  </si>
  <si>
    <t>Actual_Cost_NGN</t>
  </si>
  <si>
    <t>Cost_Overrun_NGN</t>
  </si>
  <si>
    <t>Planned_Duration_Months</t>
  </si>
  <si>
    <t>Actual_Duration_Months</t>
  </si>
  <si>
    <t>Schedule_Delay_Months</t>
  </si>
  <si>
    <t>Pct_Complete</t>
  </si>
  <si>
    <t>Primary_Delay_Reason</t>
  </si>
  <si>
    <t>Status</t>
  </si>
  <si>
    <t>PRJ-001</t>
  </si>
  <si>
    <t>Lagos Bridge Phase 1</t>
  </si>
  <si>
    <t>Bridge</t>
  </si>
  <si>
    <t>Lagos</t>
  </si>
  <si>
    <t>Pioneer Builders Ltd</t>
  </si>
  <si>
    <t>Mott McDonald</t>
  </si>
  <si>
    <t>Poor site supervision</t>
  </si>
  <si>
    <t>Ongoing</t>
  </si>
  <si>
    <t>PRJ-002</t>
  </si>
  <si>
    <t>Kano Bridge Phase 2</t>
  </si>
  <si>
    <t>Kano</t>
  </si>
  <si>
    <t>Apex Infra Ltd</t>
  </si>
  <si>
    <t>Scott Wilson</t>
  </si>
  <si>
    <t>Permit issues</t>
  </si>
  <si>
    <t>PRJ-003</t>
  </si>
  <si>
    <t>Rivers Road Construction Phase 2</t>
  </si>
  <si>
    <t>Road Construction</t>
  </si>
  <si>
    <t>Rivers</t>
  </si>
  <si>
    <t>Grandeur Works</t>
  </si>
  <si>
    <t>Julius Berger Consult</t>
  </si>
  <si>
    <t>Material price escalation</t>
  </si>
  <si>
    <t>PRJ-004</t>
  </si>
  <si>
    <t xml:space="preserve"> Edo School Block Phase 2</t>
  </si>
  <si>
    <t>School Block</t>
  </si>
  <si>
    <t xml:space="preserve"> Edo</t>
  </si>
  <si>
    <t>AECOM Nigeria</t>
  </si>
  <si>
    <t>PRJ-005</t>
  </si>
  <si>
    <t>Kano Erosion Control Phase 2</t>
  </si>
  <si>
    <t>Erosion Control</t>
  </si>
  <si>
    <t>BuildRight Nig Ltd</t>
  </si>
  <si>
    <t>Design changes</t>
  </si>
  <si>
    <t>PRJ-006</t>
  </si>
  <si>
    <t>Rivers School Block Phase 3</t>
  </si>
  <si>
    <t>Nile Construction</t>
  </si>
  <si>
    <t>Labour dispute</t>
  </si>
  <si>
    <t>PRJ-007</t>
  </si>
  <si>
    <t>Rivers Housing Estate Phase 1</t>
  </si>
  <si>
    <t>Housing Estate</t>
  </si>
  <si>
    <t>Greenfield Eng Ltd</t>
  </si>
  <si>
    <t>CCECC Consult</t>
  </si>
  <si>
    <t>PRJ-008</t>
  </si>
  <si>
    <t>Enugu Road Construction Phase 3</t>
  </si>
  <si>
    <t>Enugu</t>
  </si>
  <si>
    <t>Community protest</t>
  </si>
  <si>
    <t>PRJ-009</t>
  </si>
  <si>
    <t>Rivers Culvert Phase 1</t>
  </si>
  <si>
    <t>Culvert</t>
  </si>
  <si>
    <t>Funding delay</t>
  </si>
  <si>
    <t>PRJ-010</t>
  </si>
  <si>
    <t>Anambra Drainage System Phase 1</t>
  </si>
  <si>
    <t>Drainage System</t>
  </si>
  <si>
    <t>Anambra</t>
  </si>
  <si>
    <t>PRJ-011</t>
  </si>
  <si>
    <t>Delta Hospital Phase 2</t>
  </si>
  <si>
    <t>Hospital</t>
  </si>
  <si>
    <t>Delta</t>
  </si>
  <si>
    <t>Mainland Const. Co.</t>
  </si>
  <si>
    <t>Delayed</t>
  </si>
  <si>
    <t>PRJ-012</t>
  </si>
  <si>
    <t>Abuja School Block Phase 1</t>
  </si>
  <si>
    <t>Abuja</t>
  </si>
  <si>
    <t>PRJ-013</t>
  </si>
  <si>
    <t>Anambra Water Treatment Plant Phase 1</t>
  </si>
  <si>
    <t>Water Treatment Plant</t>
  </si>
  <si>
    <t>Equipment breakdown</t>
  </si>
  <si>
    <t>PRJ-014</t>
  </si>
  <si>
    <t>Enugu Bridge Phase 3</t>
  </si>
  <si>
    <t>PRJ-015</t>
  </si>
  <si>
    <t>Rivers Drainage System Phase 3</t>
  </si>
  <si>
    <t>Adverse weather</t>
  </si>
  <si>
    <t>PRJ-016</t>
  </si>
  <si>
    <t>Delta Water Treatment Plant Phase 3</t>
  </si>
  <si>
    <t>Completed</t>
  </si>
  <si>
    <t>PRJ-017</t>
  </si>
  <si>
    <t>Lagos Housing Estate Phase 3</t>
  </si>
  <si>
    <t>PRJ-018</t>
  </si>
  <si>
    <t>Kano Culvert Phase 1</t>
  </si>
  <si>
    <t>Horizon Builders</t>
  </si>
  <si>
    <t>PRJ-019</t>
  </si>
  <si>
    <t>Enugu Hospital Phase 1</t>
  </si>
  <si>
    <t>PRJ-020</t>
  </si>
  <si>
    <t>Kano Housing Estate Phase 3</t>
  </si>
  <si>
    <t>PRJ-021</t>
  </si>
  <si>
    <t>Lagos Bridge Phase 2</t>
  </si>
  <si>
    <t>PRJ-022</t>
  </si>
  <si>
    <t>Rivers Road Construction Phase 1</t>
  </si>
  <si>
    <t>Contractor default</t>
  </si>
  <si>
    <t>PRJ-023</t>
  </si>
  <si>
    <t>Kano Water Treatment Plant Phase 1</t>
  </si>
  <si>
    <t>Tetrazzini &amp; Sons Ltd</t>
  </si>
  <si>
    <t>PRJ-024</t>
  </si>
  <si>
    <t>Anambra Road Construction Phase 3</t>
  </si>
  <si>
    <t>PRJ-025</t>
  </si>
  <si>
    <t xml:space="preserve"> Edo Road Construction Phase 2</t>
  </si>
  <si>
    <t>PRJ-026</t>
  </si>
  <si>
    <t>Rivers Hospital Phase 3</t>
  </si>
  <si>
    <t>PRJ-027</t>
  </si>
  <si>
    <t>Anambra Housing Estate Phase 3</t>
  </si>
  <si>
    <t>PRJ-028</t>
  </si>
  <si>
    <t xml:space="preserve"> Edo Water Treatment Plant Phase 1</t>
  </si>
  <si>
    <t>PRJ-029</t>
  </si>
  <si>
    <t>Oyo Water Treatment Plant Phase 1</t>
  </si>
  <si>
    <t>Oyo</t>
  </si>
  <si>
    <t>PRJ-030</t>
  </si>
  <si>
    <t>Oyo Hospital Phase 3</t>
  </si>
  <si>
    <t>PRJ-031</t>
  </si>
  <si>
    <t>Anambra Hospital Phase 3</t>
  </si>
  <si>
    <t>PRJ-032</t>
  </si>
  <si>
    <t>Delta Drainage System Phase 3</t>
  </si>
  <si>
    <t>Fedex Const. Co.</t>
  </si>
  <si>
    <t>PRJ-033</t>
  </si>
  <si>
    <t>Enugu Bridge Phase 1</t>
  </si>
  <si>
    <t>PRJ-034</t>
  </si>
  <si>
    <t>Enugu Drainage System Phase 1</t>
  </si>
  <si>
    <t>PRJ-035</t>
  </si>
  <si>
    <t>Enugu Culvert Phase 2</t>
  </si>
  <si>
    <t>PRJ-036</t>
  </si>
  <si>
    <t>Delta Retaining Wall Phase 1</t>
  </si>
  <si>
    <t>Retaining Wall</t>
  </si>
  <si>
    <t>PRJ-037</t>
  </si>
  <si>
    <t>Delta Erosion Control Phase 1</t>
  </si>
  <si>
    <t>PRJ-038</t>
  </si>
  <si>
    <t>Lagos Hospital Phase 3</t>
  </si>
  <si>
    <t>PRJ-039</t>
  </si>
  <si>
    <t>PRJ-040</t>
  </si>
  <si>
    <t>PRJ-041</t>
  </si>
  <si>
    <t>PRJ-042</t>
  </si>
  <si>
    <t>Rivers Housing Estate Phase 2</t>
  </si>
  <si>
    <t>PRJ-043</t>
  </si>
  <si>
    <t>Kano Hospital Phase 2</t>
  </si>
  <si>
    <t>PRJ-044</t>
  </si>
  <si>
    <t>Kaduna Drainage System Phase 3</t>
  </si>
  <si>
    <t>Kaduna</t>
  </si>
  <si>
    <t>PRJ-045</t>
  </si>
  <si>
    <t>Rivers Culvert Phase 3</t>
  </si>
  <si>
    <t>PRJ-046</t>
  </si>
  <si>
    <t>Oyo Housing Estate Phase 2</t>
  </si>
  <si>
    <t>PRJ-047</t>
  </si>
  <si>
    <t>Kano Drainage System Phase 3</t>
  </si>
  <si>
    <t>PRJ-048</t>
  </si>
  <si>
    <t xml:space="preserve"> Edo Road Construction Phase 3</t>
  </si>
  <si>
    <t>PRJ-049</t>
  </si>
  <si>
    <t xml:space="preserve"> Edo Retaining Wall Phase 2</t>
  </si>
  <si>
    <t>PRJ-050</t>
  </si>
  <si>
    <t xml:space="preserve"> Edo Drainage System Phase 1</t>
  </si>
  <si>
    <t>Phase</t>
  </si>
  <si>
    <t>Phase_Budget_NGN</t>
  </si>
  <si>
    <t>Phase_Actual_NGN</t>
  </si>
  <si>
    <t>Phase_Overrun_NGN</t>
  </si>
  <si>
    <t>Phase_Overrun_Pct</t>
  </si>
  <si>
    <t>Design</t>
  </si>
  <si>
    <t>Procurement</t>
  </si>
  <si>
    <t>Mobilisation</t>
  </si>
  <si>
    <t>Construction</t>
  </si>
  <si>
    <t>Testing &amp; Commissioning</t>
  </si>
  <si>
    <t>Handover</t>
  </si>
  <si>
    <t>Projects_Handled</t>
  </si>
  <si>
    <t>Total_Budget_NGN</t>
  </si>
  <si>
    <t>Total_Actual_NGN</t>
  </si>
  <si>
    <t>Avg_Cost_Overrun_Pct</t>
  </si>
  <si>
    <t>Avg_Planned_Duration</t>
  </si>
  <si>
    <t>Avg_Actual_Duration</t>
  </si>
  <si>
    <t>Delay_Rate_Pct</t>
  </si>
  <si>
    <t>Performance_Score</t>
  </si>
  <si>
    <t>Table</t>
  </si>
  <si>
    <t>Column</t>
  </si>
  <si>
    <t>Data Type</t>
  </si>
  <si>
    <t>Description</t>
  </si>
  <si>
    <t xml:space="preserve">  ▶  Projects</t>
  </si>
  <si>
    <t>TEXT</t>
  </si>
  <si>
    <t>Unique identifier for each project (e.g. PRJ-001)</t>
  </si>
  <si>
    <t>Descriptive name: State + Type + Phase</t>
  </si>
  <si>
    <t>Category of infrastructure project</t>
  </si>
  <si>
    <t>Nigerian state where project is located</t>
  </si>
  <si>
    <t>Name of the main contractor</t>
  </si>
  <si>
    <t>Supervising consultant firm</t>
  </si>
  <si>
    <t>INTEGER</t>
  </si>
  <si>
    <t>Year the project commenced</t>
  </si>
  <si>
    <t>CURRENCY</t>
  </si>
  <si>
    <t>Original approved project budget (Naira)</t>
  </si>
  <si>
    <t>Final or current actual expenditure (Naira)</t>
  </si>
  <si>
    <t>Actual Cost minus Budget (positive = overrun)</t>
  </si>
  <si>
    <t>Original planned project duration in months</t>
  </si>
  <si>
    <t>Actual or projected completion duration</t>
  </si>
  <si>
    <t>Actual minus Planned duration (positive = delay)</t>
  </si>
  <si>
    <t>Percentage of work completed (0–100)</t>
  </si>
  <si>
    <t>Main recorded reason for schedule delay</t>
  </si>
  <si>
    <t>Project status: Completed / Ongoing / Delayed</t>
  </si>
  <si>
    <t xml:space="preserve">  ▶  Phase_Breakdown</t>
  </si>
  <si>
    <t>Foreign key linking to Projects table</t>
  </si>
  <si>
    <t>Project phase name (Design, Procurement, etc.)</t>
  </si>
  <si>
    <t>Allocated budget for this phase</t>
  </si>
  <si>
    <t>Actual spend for this phase</t>
  </si>
  <si>
    <t>Phase overrun in Naira</t>
  </si>
  <si>
    <t>DECIMAL</t>
  </si>
  <si>
    <t>Phase overrun as percentage of phase budget</t>
  </si>
  <si>
    <t xml:space="preserve">  ▶  Contractor_Scorecard</t>
  </si>
  <si>
    <t>Contractor name (primary key)</t>
  </si>
  <si>
    <t>Total number of projects awarded</t>
  </si>
  <si>
    <t>Sum of all project budgets</t>
  </si>
  <si>
    <t>Sum of all actual costs</t>
  </si>
  <si>
    <t>Average cost overrun % across all projects</t>
  </si>
  <si>
    <t>Average planned project duration in months</t>
  </si>
  <si>
    <t>Average actual project duration in months</t>
  </si>
  <si>
    <t>% of projects with schedule delays</t>
  </si>
  <si>
    <t>Composite score: 100 minus overrun &amp; delay rates</t>
  </si>
  <si>
    <t>project_id</t>
  </si>
  <si>
    <t>Average</t>
  </si>
  <si>
    <t>Poor</t>
  </si>
  <si>
    <t>High Risk</t>
  </si>
  <si>
    <t>Moderate Risk</t>
  </si>
  <si>
    <t>Low Risk</t>
  </si>
  <si>
    <t>Delay Reason</t>
  </si>
  <si>
    <t>Project Type</t>
  </si>
  <si>
    <t>project_name</t>
  </si>
  <si>
    <t>budget_NGN</t>
  </si>
  <si>
    <t>cost_overrun_NGN</t>
  </si>
  <si>
    <t>sched_delay_months</t>
  </si>
  <si>
    <t>status</t>
  </si>
  <si>
    <t>phase</t>
  </si>
  <si>
    <t>total_projects</t>
  </si>
  <si>
    <t>contractor</t>
  </si>
  <si>
    <t>total_project</t>
  </si>
  <si>
    <t>score_categ</t>
  </si>
  <si>
    <t>planned_dur_months</t>
  </si>
  <si>
    <t>risk_variation</t>
  </si>
  <si>
    <t>category</t>
  </si>
  <si>
    <t>dimension</t>
  </si>
  <si>
    <t>high_risk_count</t>
  </si>
  <si>
    <t>TOP 10 PROJECTS BY COST AND  SCHEDULED DELAY OVERRUN</t>
  </si>
  <si>
    <t>TOTAL  COST OVERRUN BY PHASE</t>
  </si>
  <si>
    <t>CONTRACTOR'S PERFORMANCE</t>
  </si>
  <si>
    <t>PROJECTS RISKS FLAG</t>
  </si>
  <si>
    <t>IMPROVEMENT AREAS BASED ON HIGH RISK PROJECTS</t>
  </si>
  <si>
    <t>Grand Total</t>
  </si>
  <si>
    <t>(All)</t>
  </si>
  <si>
    <t>TOP 10 PROJECTS BY COST OVERRUN</t>
  </si>
  <si>
    <t>overrun_perc</t>
  </si>
  <si>
    <t>Row Labels</t>
  </si>
  <si>
    <t xml:space="preserve"> overrun_perc</t>
  </si>
  <si>
    <t xml:space="preserve"> total_phase_overrun_NGN</t>
  </si>
  <si>
    <t xml:space="preserve"> perfom_score %</t>
  </si>
  <si>
    <t>Count of project_id</t>
  </si>
  <si>
    <t>avg_risk_score</t>
  </si>
  <si>
    <t>Count of high_risk_count</t>
  </si>
  <si>
    <t>s/n</t>
  </si>
  <si>
    <t>Count of Project_ID</t>
  </si>
  <si>
    <t>Sum of Cost_Overrun_NGN</t>
  </si>
  <si>
    <t>Average of Schedule_Delay_Months</t>
  </si>
  <si>
    <t>Total</t>
  </si>
  <si>
    <t>MONSURU ADELEKE</t>
  </si>
  <si>
    <t>total_phase_overrun</t>
  </si>
  <si>
    <t>avg_overrun_perct</t>
  </si>
  <si>
    <t>avg_cost_overrun_pct</t>
  </si>
  <si>
    <t>avg_dur_overrun_perc</t>
  </si>
  <si>
    <t>perfom_score</t>
  </si>
  <si>
    <t>perc_cost_overrun</t>
  </si>
  <si>
    <t>perc_dur_overrun</t>
  </si>
  <si>
    <t>perct_completed</t>
  </si>
  <si>
    <t>risk_score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</si>
</sst>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0\%"/>
    <numFmt numFmtId="165" formatCode="0.0\%"/>
    <numFmt numFmtId="166" formatCode="0.0"/>
    <numFmt numFmtId="167" formatCode="_(* #,##0_);_(* \(#,##0\);_(* &quot;-&quot;??_);_(@_)"/>
  </numFmts>
  <fonts count="18" x14ac:knownFonts="1">
    <font>
      <sz val="11"/>
      <color theme="1"/>
      <name val="Calibri"/>
      <family val="2"/>
      <charset val="1"/>
    </font>
    <font>
      <sz val="10"/>
      <name val="Arial"/>
    </font>
    <font>
      <b/>
      <sz val="14"/>
      <color rgb="FFFFFFFF"/>
      <name val="Arial"/>
      <charset val="1"/>
    </font>
    <font>
      <b/>
      <sz val="11"/>
      <color rgb="FFFFFFFF"/>
      <name val="Arial"/>
      <charset val="1"/>
    </font>
    <font>
      <b/>
      <sz val="10"/>
      <name val="Arial"/>
      <charset val="1"/>
    </font>
    <font>
      <sz val="10"/>
      <name val="Arial"/>
      <charset val="1"/>
    </font>
    <font>
      <b/>
      <sz val="10"/>
      <color rgb="FFC55A11"/>
      <name val="Arial"/>
      <charset val="1"/>
    </font>
    <font>
      <b/>
      <sz val="10"/>
      <color rgb="FF1F3864"/>
      <name val="Arial"/>
      <charset val="1"/>
    </font>
    <font>
      <b/>
      <sz val="10"/>
      <color rgb="FFFFFFFF"/>
      <name val="Arial"/>
      <charset val="1"/>
    </font>
    <font>
      <sz val="11"/>
      <color rgb="FF1F3864"/>
      <name val="Calibri"/>
      <family val="2"/>
      <charset val="1"/>
    </font>
    <font>
      <b/>
      <sz val="14"/>
      <color theme="0"/>
      <name val="Calibri"/>
      <family val="2"/>
    </font>
    <font>
      <sz val="11"/>
      <color theme="1"/>
      <name val="Calibri"/>
      <family val="2"/>
      <charset val="1"/>
    </font>
    <font>
      <sz val="8"/>
      <name val="Calibri"/>
      <family val="2"/>
      <charset val="1"/>
    </font>
    <font>
      <b/>
      <sz val="11"/>
      <color theme="0"/>
      <name val="Calibri"/>
      <family val="2"/>
      <charset val="1"/>
    </font>
    <font>
      <sz val="10"/>
      <name val="Arial"/>
      <family val="2"/>
    </font>
    <font>
      <b/>
      <sz val="10"/>
      <name val="Arial"/>
      <family val="2"/>
    </font>
    <font>
      <sz val="10"/>
      <name val="Arial"/>
      <family val="2"/>
      <charset val="1"/>
    </font>
    <font>
      <sz val="8"/>
      <color theme="1"/>
      <name val="Calibri"/>
      <family val="2"/>
      <charset val="1"/>
    </font>
  </fonts>
  <fills count="13">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D6E4F0"/>
        <bgColor rgb="FFE2EFDA"/>
      </patternFill>
    </fill>
    <fill>
      <patternFill patternType="solid">
        <fgColor rgb="FFF2F2F2"/>
        <bgColor rgb="FFE2EFDA"/>
      </patternFill>
    </fill>
    <fill>
      <patternFill patternType="solid">
        <fgColor rgb="FFFCE4D6"/>
        <bgColor rgb="FFF2F2F2"/>
      </patternFill>
    </fill>
    <fill>
      <patternFill patternType="solid">
        <fgColor rgb="FFFFFFFF"/>
        <bgColor rgb="FFF2F2F2"/>
      </patternFill>
    </fill>
    <fill>
      <patternFill patternType="solid">
        <fgColor rgb="FFE2EFDA"/>
        <bgColor rgb="FFF2F2F2"/>
      </patternFill>
    </fill>
    <fill>
      <patternFill patternType="solid">
        <fgColor rgb="FFC55A11"/>
        <bgColor rgb="FF993300"/>
      </patternFill>
    </fill>
    <fill>
      <patternFill patternType="solid">
        <fgColor rgb="FF375623"/>
        <bgColor rgb="FF333300"/>
      </patternFill>
    </fill>
    <fill>
      <patternFill patternType="solid">
        <fgColor rgb="FF1F3864"/>
        <bgColor indexed="64"/>
      </patternFill>
    </fill>
    <fill>
      <patternFill patternType="solid">
        <fgColor theme="4"/>
        <bgColor theme="4"/>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theme="4"/>
      </left>
      <right/>
      <top style="thin">
        <color theme="4"/>
      </top>
      <bottom/>
      <diagonal/>
    </border>
  </borders>
  <cellStyleXfs count="3">
    <xf numFmtId="0" fontId="0" fillId="0" borderId="0"/>
    <xf numFmtId="43" fontId="1" fillId="0" borderId="0" applyBorder="0" applyAlignment="0" applyProtection="0"/>
    <xf numFmtId="9" fontId="11" fillId="0" borderId="0" applyFont="0" applyFill="0" applyBorder="0" applyAlignment="0" applyProtection="0"/>
  </cellStyleXfs>
  <cellXfs count="99">
    <xf numFmtId="0" fontId="0" fillId="0" borderId="0" xfId="0"/>
    <xf numFmtId="0" fontId="0" fillId="0" borderId="1" xfId="0" applyBorder="1"/>
    <xf numFmtId="0" fontId="4" fillId="4" borderId="1" xfId="0" applyFont="1" applyFill="1" applyBorder="1"/>
    <xf numFmtId="0" fontId="5" fillId="0" borderId="1" xfId="0" applyFont="1" applyBorder="1" applyAlignment="1">
      <alignment wrapText="1"/>
    </xf>
    <xf numFmtId="0" fontId="5" fillId="5" borderId="1" xfId="0" applyFont="1" applyFill="1" applyBorder="1" applyAlignment="1">
      <alignment horizontal="center" vertical="center"/>
    </xf>
    <xf numFmtId="0" fontId="5" fillId="5" borderId="1" xfId="0" applyFont="1" applyFill="1" applyBorder="1" applyAlignment="1">
      <alignment horizontal="left" vertical="center"/>
    </xf>
    <xf numFmtId="3" fontId="5" fillId="5" borderId="1" xfId="0" applyNumberFormat="1" applyFont="1" applyFill="1" applyBorder="1" applyAlignment="1">
      <alignment horizontal="left" vertical="center"/>
    </xf>
    <xf numFmtId="3" fontId="6" fillId="6" borderId="1" xfId="0" applyNumberFormat="1" applyFont="1" applyFill="1" applyBorder="1" applyAlignment="1">
      <alignment horizontal="left" vertical="center"/>
    </xf>
    <xf numFmtId="1" fontId="5" fillId="5" borderId="1" xfId="0" applyNumberFormat="1" applyFont="1" applyFill="1" applyBorder="1" applyAlignment="1">
      <alignment horizontal="center" vertical="center"/>
    </xf>
    <xf numFmtId="164" fontId="5" fillId="5" borderId="1" xfId="0" applyNumberFormat="1" applyFont="1" applyFill="1" applyBorder="1" applyAlignment="1">
      <alignment horizontal="center" vertical="center"/>
    </xf>
    <xf numFmtId="0" fontId="5" fillId="7" borderId="1" xfId="0" applyFont="1" applyFill="1" applyBorder="1" applyAlignment="1">
      <alignment horizontal="center" vertical="center"/>
    </xf>
    <xf numFmtId="0" fontId="5" fillId="7" borderId="1" xfId="0" applyFont="1" applyFill="1" applyBorder="1" applyAlignment="1">
      <alignment horizontal="left" vertical="center"/>
    </xf>
    <xf numFmtId="3" fontId="5" fillId="7" borderId="1" xfId="0" applyNumberFormat="1" applyFont="1" applyFill="1" applyBorder="1" applyAlignment="1">
      <alignment horizontal="left" vertical="center"/>
    </xf>
    <xf numFmtId="1" fontId="5" fillId="7" borderId="1" xfId="0" applyNumberFormat="1" applyFont="1" applyFill="1" applyBorder="1" applyAlignment="1">
      <alignment horizontal="center" vertical="center"/>
    </xf>
    <xf numFmtId="164" fontId="5" fillId="7" borderId="1" xfId="0" applyNumberFormat="1" applyFont="1" applyFill="1" applyBorder="1" applyAlignment="1">
      <alignment horizontal="center" vertical="center"/>
    </xf>
    <xf numFmtId="165" fontId="5" fillId="5" borderId="1" xfId="0" applyNumberFormat="1" applyFont="1" applyFill="1" applyBorder="1" applyAlignment="1">
      <alignment horizontal="center" vertical="center"/>
    </xf>
    <xf numFmtId="165" fontId="5" fillId="7" borderId="1" xfId="0" applyNumberFormat="1" applyFont="1" applyFill="1" applyBorder="1" applyAlignment="1">
      <alignment horizontal="center" vertical="center"/>
    </xf>
    <xf numFmtId="3" fontId="5" fillId="5" borderId="1" xfId="0" applyNumberFormat="1" applyFont="1" applyFill="1" applyBorder="1" applyAlignment="1">
      <alignment horizontal="center" vertical="center"/>
    </xf>
    <xf numFmtId="166" fontId="5" fillId="5" borderId="1" xfId="0" applyNumberFormat="1" applyFont="1" applyFill="1" applyBorder="1" applyAlignment="1">
      <alignment horizontal="center" vertical="center"/>
    </xf>
    <xf numFmtId="3" fontId="5" fillId="7" borderId="1" xfId="0" applyNumberFormat="1" applyFont="1" applyFill="1" applyBorder="1" applyAlignment="1">
      <alignment horizontal="center" vertical="center"/>
    </xf>
    <xf numFmtId="166" fontId="5" fillId="7"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5"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5" fillId="5" borderId="2" xfId="0" applyFont="1" applyFill="1" applyBorder="1" applyAlignment="1">
      <alignment horizontal="center" vertical="center"/>
    </xf>
    <xf numFmtId="0" fontId="5" fillId="7"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6" borderId="3" xfId="0" applyFont="1" applyFill="1" applyBorder="1" applyAlignment="1">
      <alignment horizontal="center" vertical="center"/>
    </xf>
    <xf numFmtId="0" fontId="5" fillId="8" borderId="3"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5" fillId="7" borderId="7" xfId="0" applyFont="1" applyFill="1" applyBorder="1" applyAlignment="1">
      <alignment horizontal="center" vertical="center"/>
    </xf>
    <xf numFmtId="0" fontId="5" fillId="7" borderId="8" xfId="0" applyFont="1" applyFill="1" applyBorder="1" applyAlignment="1">
      <alignment horizontal="left" vertical="center"/>
    </xf>
    <xf numFmtId="0" fontId="5" fillId="7" borderId="8" xfId="0" applyFont="1" applyFill="1" applyBorder="1" applyAlignment="1">
      <alignment horizontal="center" vertical="center"/>
    </xf>
    <xf numFmtId="3" fontId="5" fillId="7" borderId="8" xfId="0" applyNumberFormat="1" applyFont="1" applyFill="1" applyBorder="1" applyAlignment="1">
      <alignment horizontal="left" vertical="center"/>
    </xf>
    <xf numFmtId="3" fontId="6" fillId="6" borderId="8" xfId="0" applyNumberFormat="1" applyFont="1" applyFill="1" applyBorder="1" applyAlignment="1">
      <alignment horizontal="left" vertical="center"/>
    </xf>
    <xf numFmtId="1" fontId="5" fillId="7" borderId="8" xfId="0" applyNumberFormat="1" applyFont="1" applyFill="1" applyBorder="1" applyAlignment="1">
      <alignment horizontal="center" vertical="center"/>
    </xf>
    <xf numFmtId="164" fontId="5" fillId="7" borderId="8" xfId="0" applyNumberFormat="1" applyFont="1" applyFill="1" applyBorder="1" applyAlignment="1">
      <alignment horizontal="center" vertical="center"/>
    </xf>
    <xf numFmtId="0" fontId="5" fillId="6" borderId="9" xfId="0" applyFont="1" applyFill="1" applyBorder="1" applyAlignment="1">
      <alignment horizontal="center" vertical="center"/>
    </xf>
    <xf numFmtId="165" fontId="5" fillId="5" borderId="3" xfId="0" applyNumberFormat="1" applyFont="1" applyFill="1" applyBorder="1" applyAlignment="1">
      <alignment horizontal="center" vertical="center"/>
    </xf>
    <xf numFmtId="165" fontId="5" fillId="7" borderId="3" xfId="0" applyNumberFormat="1"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165" fontId="5" fillId="7" borderId="9" xfId="0" applyNumberFormat="1" applyFont="1" applyFill="1" applyBorder="1" applyAlignment="1">
      <alignment horizontal="center" vertical="center"/>
    </xf>
    <xf numFmtId="0" fontId="5" fillId="5" borderId="2" xfId="0" applyFont="1" applyFill="1" applyBorder="1" applyAlignment="1">
      <alignment horizontal="left" vertical="center"/>
    </xf>
    <xf numFmtId="0" fontId="5" fillId="7" borderId="2" xfId="0" applyFont="1" applyFill="1" applyBorder="1" applyAlignment="1">
      <alignment horizontal="left" vertical="center"/>
    </xf>
    <xf numFmtId="166" fontId="7" fillId="5" borderId="3" xfId="0" applyNumberFormat="1" applyFont="1" applyFill="1" applyBorder="1" applyAlignment="1">
      <alignment horizontal="center" vertical="center"/>
    </xf>
    <xf numFmtId="166" fontId="7" fillId="7" borderId="3" xfId="0" applyNumberFormat="1" applyFont="1" applyFill="1" applyBorder="1" applyAlignment="1">
      <alignment horizontal="center" vertical="center"/>
    </xf>
    <xf numFmtId="0" fontId="3" fillId="9" borderId="4" xfId="0" applyFont="1" applyFill="1" applyBorder="1" applyAlignment="1">
      <alignment horizontal="center" vertical="center" wrapText="1"/>
    </xf>
    <xf numFmtId="0" fontId="3" fillId="9" borderId="5" xfId="0" applyFont="1" applyFill="1" applyBorder="1" applyAlignment="1">
      <alignment horizontal="center" vertical="center" wrapText="1"/>
    </xf>
    <xf numFmtId="0" fontId="3" fillId="9" borderId="6" xfId="0" applyFont="1" applyFill="1" applyBorder="1" applyAlignment="1">
      <alignment horizontal="center" vertical="center" wrapText="1"/>
    </xf>
    <xf numFmtId="0" fontId="5" fillId="7" borderId="7" xfId="0" applyFont="1" applyFill="1" applyBorder="1" applyAlignment="1">
      <alignment horizontal="left" vertical="center"/>
    </xf>
    <xf numFmtId="3" fontId="5" fillId="7" borderId="8" xfId="0" applyNumberFormat="1" applyFont="1" applyFill="1" applyBorder="1" applyAlignment="1">
      <alignment horizontal="center" vertical="center"/>
    </xf>
    <xf numFmtId="165" fontId="5" fillId="7" borderId="8" xfId="0" applyNumberFormat="1" applyFont="1" applyFill="1" applyBorder="1" applyAlignment="1">
      <alignment horizontal="center" vertical="center"/>
    </xf>
    <xf numFmtId="166" fontId="5" fillId="7" borderId="8" xfId="0" applyNumberFormat="1" applyFont="1" applyFill="1" applyBorder="1" applyAlignment="1">
      <alignment horizontal="center" vertical="center"/>
    </xf>
    <xf numFmtId="166" fontId="7" fillId="7" borderId="9" xfId="0" applyNumberFormat="1" applyFont="1" applyFill="1" applyBorder="1" applyAlignment="1">
      <alignment horizontal="center" vertical="center"/>
    </xf>
    <xf numFmtId="0" fontId="0" fillId="11" borderId="0" xfId="0" applyFill="1"/>
    <xf numFmtId="0" fontId="0" fillId="0" borderId="0" xfId="0" applyAlignment="1">
      <alignment horizontal="center" vertical="center"/>
    </xf>
    <xf numFmtId="0" fontId="0" fillId="0" borderId="0" xfId="0" applyAlignment="1">
      <alignment horizontal="center" vertical="center" wrapText="1"/>
    </xf>
    <xf numFmtId="2" fontId="0" fillId="0" borderId="0" xfId="0" applyNumberFormat="1" applyAlignment="1">
      <alignment horizontal="center" vertical="center"/>
    </xf>
    <xf numFmtId="43" fontId="1" fillId="0" borderId="0" xfId="1"/>
    <xf numFmtId="167" fontId="1" fillId="0" borderId="0" xfId="1" applyNumberFormat="1"/>
    <xf numFmtId="167" fontId="1" fillId="0" borderId="1" xfId="1" applyNumberFormat="1" applyBorder="1" applyAlignment="1">
      <alignment horizontal="left" vertical="center"/>
    </xf>
    <xf numFmtId="167" fontId="1" fillId="0" borderId="8" xfId="1" applyNumberFormat="1" applyBorder="1" applyAlignment="1">
      <alignment horizontal="left" vertical="center"/>
    </xf>
    <xf numFmtId="0" fontId="0" fillId="0" borderId="0" xfId="0" pivotButton="1"/>
    <xf numFmtId="0" fontId="0" fillId="0" borderId="0" xfId="0" applyAlignment="1">
      <alignment horizontal="left"/>
    </xf>
    <xf numFmtId="165" fontId="0" fillId="0" borderId="0" xfId="0" applyNumberFormat="1"/>
    <xf numFmtId="167" fontId="0" fillId="0" borderId="0" xfId="0" applyNumberFormat="1"/>
    <xf numFmtId="10" fontId="0" fillId="0" borderId="0" xfId="0" applyNumberFormat="1"/>
    <xf numFmtId="0" fontId="13" fillId="12" borderId="10" xfId="0" applyFont="1" applyFill="1" applyBorder="1" applyAlignment="1">
      <alignment horizontal="center" vertical="center"/>
    </xf>
    <xf numFmtId="1" fontId="0" fillId="0" borderId="0" xfId="0" applyNumberFormat="1"/>
    <xf numFmtId="0" fontId="1" fillId="0" borderId="8" xfId="0" applyFont="1" applyBorder="1" applyAlignment="1">
      <alignment horizontal="left" vertical="center"/>
    </xf>
    <xf numFmtId="0" fontId="5" fillId="4" borderId="9" xfId="0" applyFont="1" applyFill="1" applyBorder="1" applyAlignment="1">
      <alignment horizontal="center" vertical="center"/>
    </xf>
    <xf numFmtId="167" fontId="1" fillId="0" borderId="8" xfId="0" applyNumberFormat="1" applyFont="1" applyBorder="1" applyAlignment="1">
      <alignment horizontal="left" vertical="center"/>
    </xf>
    <xf numFmtId="0" fontId="16" fillId="7" borderId="7" xfId="0" applyFont="1" applyFill="1" applyBorder="1" applyAlignment="1">
      <alignment horizontal="center" vertical="center"/>
    </xf>
    <xf numFmtId="0" fontId="14" fillId="7" borderId="8" xfId="0" applyFont="1" applyFill="1" applyBorder="1" applyAlignment="1">
      <alignment horizontal="left" vertical="center"/>
    </xf>
    <xf numFmtId="0" fontId="17" fillId="11" borderId="0" xfId="0" applyFont="1" applyFill="1"/>
    <xf numFmtId="165" fontId="0" fillId="0" borderId="0" xfId="0" applyNumberFormat="1" applyAlignment="1">
      <alignment horizontal="center" vertical="center"/>
    </xf>
    <xf numFmtId="165" fontId="0" fillId="0" borderId="0" xfId="2" applyNumberFormat="1" applyFont="1" applyAlignment="1">
      <alignment horizontal="center" vertical="center"/>
    </xf>
    <xf numFmtId="0" fontId="15" fillId="4" borderId="1" xfId="0" applyFont="1" applyFill="1" applyBorder="1"/>
    <xf numFmtId="0" fontId="14" fillId="0" borderId="1" xfId="0" applyFont="1" applyBorder="1" applyAlignment="1">
      <alignment wrapText="1"/>
    </xf>
    <xf numFmtId="0" fontId="5" fillId="0" borderId="1" xfId="0" applyFont="1" applyBorder="1" applyAlignment="1">
      <alignment horizontal="left" vertical="top" wrapText="1"/>
    </xf>
    <xf numFmtId="0" fontId="10" fillId="11" borderId="0" xfId="0" applyFont="1" applyFill="1" applyAlignment="1">
      <alignment horizontal="center" vertical="center"/>
    </xf>
    <xf numFmtId="0" fontId="9" fillId="11" borderId="0" xfId="0" applyFont="1" applyFill="1" applyAlignment="1">
      <alignment horizontal="center" vertical="center"/>
    </xf>
    <xf numFmtId="0" fontId="8" fillId="3" borderId="1" xfId="0" applyFont="1" applyFill="1" applyBorder="1" applyAlignment="1">
      <alignment horizontal="left" vertical="center"/>
    </xf>
    <xf numFmtId="0" fontId="8" fillId="9" borderId="1" xfId="0" applyFont="1" applyFill="1" applyBorder="1" applyAlignment="1">
      <alignment horizontal="left" vertical="center"/>
    </xf>
    <xf numFmtId="0" fontId="8" fillId="10" borderId="1" xfId="0" applyFont="1" applyFill="1" applyBorder="1" applyAlignment="1">
      <alignment horizontal="left" vertical="center"/>
    </xf>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0" fillId="0" borderId="0" xfId="0" applyNumberFormat="1"/>
  </cellXfs>
  <cellStyles count="3">
    <cellStyle name="Comma" xfId="1" builtinId="3"/>
    <cellStyle name="Normal" xfId="0" builtinId="0"/>
    <cellStyle name="Percent" xfId="2" builtinId="5"/>
  </cellStyles>
  <dxfs count="106">
    <dxf>
      <font>
        <b/>
        <i val="0"/>
        <strike val="0"/>
        <condense val="0"/>
        <extend val="0"/>
        <outline val="0"/>
        <shadow val="0"/>
        <u val="none"/>
        <vertAlign val="baseline"/>
        <sz val="10"/>
        <color rgb="FF1F3864"/>
        <name val="Arial"/>
        <charset val="1"/>
        <scheme val="none"/>
      </font>
      <numFmt numFmtId="166" formatCode="0.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5" formatCode="0.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6" formatCode="0.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6" formatCode="0.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5" formatCode="0.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3" formatCode="#,##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3" formatCode="#,##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dxf>
    <dxf>
      <border outline="0">
        <bottom style="thin">
          <color rgb="FFBFBFBF"/>
        </bottom>
      </border>
    </dxf>
    <dxf>
      <font>
        <b/>
        <i val="0"/>
        <strike val="0"/>
        <condense val="0"/>
        <extend val="0"/>
        <outline val="0"/>
        <shadow val="0"/>
        <u val="none"/>
        <vertAlign val="baseline"/>
        <sz val="11"/>
        <color rgb="FFFFFFFF"/>
        <name val="Arial"/>
        <charset val="1"/>
        <scheme val="none"/>
      </font>
      <fill>
        <patternFill patternType="solid">
          <fgColor rgb="FF993300"/>
          <bgColor rgb="FFC55A11"/>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numFmt numFmtId="165" formatCode="0.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top style="thin">
          <color rgb="FFBFBFBF"/>
        </top>
        <bottom style="thin">
          <color rgb="FFBFBFBF"/>
        </bottom>
        <vertical/>
        <horizontal/>
      </border>
    </dxf>
    <dxf>
      <font>
        <b/>
        <i val="0"/>
        <strike val="0"/>
        <condense val="0"/>
        <extend val="0"/>
        <outline val="0"/>
        <shadow val="0"/>
        <u val="none"/>
        <vertAlign val="baseline"/>
        <sz val="10"/>
        <color rgb="FFC55A11"/>
        <name val="Arial"/>
        <charset val="1"/>
        <scheme val="none"/>
      </font>
      <numFmt numFmtId="3" formatCode="#,##0"/>
      <fill>
        <patternFill patternType="solid">
          <fgColor rgb="FFF2F2F2"/>
          <bgColor rgb="FFFCE4D6"/>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3" formatCode="#,##0"/>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3" formatCode="#,##0"/>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border outline="0">
        <bottom style="thin">
          <color rgb="FFBFBFBF"/>
        </bottom>
      </border>
    </dxf>
    <dxf>
      <font>
        <b/>
        <i val="0"/>
        <strike val="0"/>
        <condense val="0"/>
        <extend val="0"/>
        <outline val="0"/>
        <shadow val="0"/>
        <u val="none"/>
        <vertAlign val="baseline"/>
        <sz val="11"/>
        <color rgb="FFFFFFFF"/>
        <name val="Arial"/>
        <charset val="1"/>
        <scheme val="none"/>
      </font>
      <fill>
        <patternFill patternType="solid">
          <fgColor rgb="FF0066CC"/>
          <bgColor rgb="FF2E75B6"/>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fill>
        <patternFill patternType="solid">
          <fgColor rgb="FFE2EFDA"/>
          <bgColor rgb="FFD6E4F0"/>
        </patternFill>
      </fill>
      <alignment horizontal="center" vertical="center" textRotation="0" wrapText="0" indent="0" justifyLastLine="0" shrinkToFit="0" readingOrder="0"/>
      <border diagonalUp="0" diagonalDown="0" outline="0">
        <left style="thin">
          <color rgb="FFBFBFBF"/>
        </left>
        <right/>
        <top style="thin">
          <color rgb="FFBFBFBF"/>
        </top>
        <bottom/>
      </border>
    </dxf>
    <dxf>
      <font>
        <b val="0"/>
        <i val="0"/>
        <strike val="0"/>
        <condense val="0"/>
        <extend val="0"/>
        <outline val="0"/>
        <shadow val="0"/>
        <u val="none"/>
        <vertAlign val="baseline"/>
        <sz val="10"/>
        <color auto="1"/>
        <name val="Arial"/>
        <charset val="1"/>
        <scheme val="none"/>
      </font>
      <fill>
        <patternFill patternType="solid">
          <fgColor rgb="FFE2EFDA"/>
          <bgColor rgb="FFD6E4F0"/>
        </patternFill>
      </fill>
      <alignment horizontal="center" vertical="center" textRotation="0" wrapText="0"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numFmt numFmtId="164" formatCode="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 formatCode="0"/>
      <fill>
        <patternFill patternType="solid">
          <fgColor rgb="FFF2F2F2"/>
          <bgColor rgb="FFFFFFFF"/>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numFmt numFmtId="1" formatCode="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numFmt numFmtId="1" formatCode="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numFmt numFmtId="1" formatCode="0"/>
      <fill>
        <patternFill patternType="solid">
          <fgColor rgb="FFF2F2F2"/>
          <bgColor rgb="FFFFFFFF"/>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scheme val="none"/>
      </font>
      <numFmt numFmtId="167" formatCode="_(* #,##0_);_(* \(#,##0\);_(* &quot;-&quot;??_);_(@_)"/>
      <fill>
        <patternFill patternType="none">
          <fgColor indexed="64"/>
          <bgColor indexed="65"/>
        </patternFill>
      </fill>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numFmt numFmtId="167" formatCode="_(* #,##0_);_(* \(#,##0\);_(* &quot;-&quot;??_);_(@_)"/>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numFmt numFmtId="167" formatCode="_(* #,##0_);_(* \(#,##0\);_(* &quot;-&quot;??_);_(@_)"/>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numFmt numFmtId="167" formatCode="_(* #,##0_);_(* \(#,##0\);_(* &quot;-&quot;??_);_(@_)"/>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border diagonalUp="0" diagonalDown="0" outline="0">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dxf>
    <dxf>
      <border outline="0">
        <bottom style="thin">
          <color rgb="FFBFBFBF"/>
        </bottom>
      </border>
    </dxf>
    <dxf>
      <font>
        <b/>
        <i val="0"/>
        <strike val="0"/>
        <condense val="0"/>
        <extend val="0"/>
        <outline val="0"/>
        <shadow val="0"/>
        <u val="none"/>
        <vertAlign val="baseline"/>
        <sz val="11"/>
        <color rgb="FFFFFFFF"/>
        <name val="Arial"/>
        <charset val="1"/>
        <scheme val="none"/>
      </font>
      <fill>
        <patternFill patternType="solid">
          <fgColor rgb="FF333399"/>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numFmt numFmtId="165" formatCode="0.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0" formatCode="General"/>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dxf>
    <dxf>
      <numFmt numFmtId="165" formatCode="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7" formatCode="_(* #,##0_);_(* \(#,##0\);_(* &quot;-&quot;??_);_(@_)"/>
    </dxf>
    <dxf>
      <numFmt numFmtId="167" formatCode="_(* #,##0_);_(* \(#,##0\);_(* &quot;-&quot;??_);_(@_)"/>
    </dxf>
    <dxf>
      <numFmt numFmtId="0" formatCode="General"/>
    </dxf>
    <dxf>
      <numFmt numFmtId="0" formatCode="General"/>
    </dxf>
    <dxf>
      <numFmt numFmtId="0" formatCode="General"/>
    </dxf>
    <dxf>
      <alignment horizontal="center" vertical="center" textRotation="0" wrapText="0" indent="0" justifyLastLine="0" shrinkToFit="0" readingOrder="0"/>
    </dxf>
    <dxf>
      <numFmt numFmtId="0" formatCode="General"/>
    </dxf>
    <dxf>
      <numFmt numFmtId="165" formatCode="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165" formatCode="0.0\%"/>
      <alignment horizontal="center" vertical="center" textRotation="0" wrapText="0" indent="0" justifyLastLine="0" shrinkToFit="0" readingOrder="0"/>
    </dxf>
    <dxf>
      <numFmt numFmtId="167" formatCode="_(* #,##0_);_(* \(#,##0\);_(* &quot;-&quot;??_);_(@_)"/>
    </dxf>
    <dxf>
      <alignment horizontal="center" vertical="center" textRotation="0" wrapText="0" indent="0" justifyLastLine="0" shrinkToFit="0" readingOrder="0"/>
    </dxf>
    <dxf>
      <numFmt numFmtId="0" formatCode="General"/>
    </dxf>
    <dxf>
      <numFmt numFmtId="0" formatCode="General"/>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charset val="1"/>
        <scheme val="none"/>
      </font>
      <numFmt numFmtId="165" formatCode="0.0\%"/>
      <alignment horizontal="center" vertical="center" textRotation="0" wrapText="0" indent="0" justifyLastLine="0" shrinkToFit="0" readingOrder="0"/>
    </dxf>
    <dxf>
      <numFmt numFmtId="0" formatCode="General"/>
    </dxf>
    <dxf>
      <numFmt numFmtId="0" formatCode="General"/>
    </dxf>
    <dxf>
      <border>
        <left style="thin">
          <color theme="4"/>
        </left>
      </border>
    </dxf>
    <dxf>
      <border>
        <left style="thin">
          <color theme="4"/>
        </left>
      </border>
    </dxf>
    <dxf>
      <border>
        <top style="thin">
          <color theme="4"/>
        </top>
      </border>
    </dxf>
    <dxf>
      <border>
        <top style="thin">
          <color theme="4"/>
        </top>
      </border>
    </dxf>
    <dxf>
      <font>
        <b/>
        <color theme="1"/>
      </font>
    </dxf>
    <dxf>
      <font>
        <b/>
        <color theme="1"/>
      </font>
    </dxf>
    <dxf>
      <font>
        <b/>
        <color theme="1"/>
      </font>
      <fill>
        <gradientFill type="path" left="0.5" right="0.5" top="0.5" bottom="0.5">
          <stop position="0">
            <color theme="3"/>
          </stop>
          <stop position="1">
            <color theme="9"/>
          </stop>
        </gradientFill>
      </fill>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font>
        <b/>
        <color theme="1"/>
      </font>
      <fill>
        <patternFill patternType="solid">
          <fgColor auto="1"/>
          <bgColor theme="1"/>
        </patternFill>
      </fill>
      <border>
        <bottom style="thin">
          <color theme="9"/>
        </bottom>
        <vertical/>
        <horizontal/>
      </border>
    </dxf>
    <dxf>
      <font>
        <b/>
        <i val="0"/>
        <sz val="12"/>
        <color theme="1"/>
      </font>
      <fill>
        <patternFill>
          <bgColor theme="1"/>
        </patternFill>
      </fill>
      <border>
        <left style="thin">
          <color theme="9"/>
        </left>
        <right style="thin">
          <color theme="9"/>
        </right>
        <top style="thin">
          <color theme="9"/>
        </top>
        <bottom style="thin">
          <color theme="9"/>
        </bottom>
        <vertical/>
        <horizontal/>
      </border>
    </dxf>
  </dxfs>
  <tableStyles count="2" defaultTableStyle="TableStyleMedium2" defaultPivotStyle="PivotStyleLight16">
    <tableStyle name="SlicerStyleDark6 2" pivot="0" table="0" count="10" xr9:uid="{AF7D3A10-F3D8-4DAA-BE3A-C88B6281BA7F}">
      <tableStyleElement type="wholeTable" dxfId="105"/>
      <tableStyleElement type="headerRow" dxfId="104"/>
    </tableStyle>
    <tableStyle name="TableStyleLight9 2" pivot="0" count="9" xr9:uid="{4C9F3768-C652-4DFF-8F60-BFDD6193BA6E}">
      <tableStyleElement type="wholeTable" dxfId="103"/>
      <tableStyleElement type="headerRow" dxfId="102"/>
      <tableStyleElement type="totalRow" dxfId="101"/>
      <tableStyleElement type="firstColumn" dxfId="100"/>
      <tableStyleElement type="lastColumn" dxfId="99"/>
      <tableStyleElement type="firstRowStripe" dxfId="98"/>
      <tableStyleElement type="secondRowStripe" dxfId="97"/>
      <tableStyleElement type="firstColumnStripe" dxfId="96"/>
      <tableStyleElement type="secondColumnStripe" dxfId="95"/>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2E75B6"/>
      <rgbColor rgb="FF33CCCC"/>
      <rgbColor rgb="FF99CC00"/>
      <rgbColor rgb="FFFFCC00"/>
      <rgbColor rgb="FFFF9900"/>
      <rgbColor rgb="FFC55A11"/>
      <rgbColor rgb="FF66669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mruColors>
      <color rgb="FF1F3864"/>
      <color rgb="FFFCE4D6"/>
      <color rgb="FFC55A11"/>
      <color rgb="FFD6E4F0"/>
      <color rgb="FF2E75B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gradientFill type="path" left="0.5" right="0.5" top="0.5" bottom="0.5">
              <stop position="0">
                <color theme="1"/>
              </stop>
              <stop position="1">
                <color theme="9" tint="-0.25098422193060094"/>
              </stop>
            </gradient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auto="1"/>
              <bgColor theme="4"/>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[Construction_Dashboard_and_Analysis.xlsx]CALCULATIONS!PivotTable3</c:name>
    <c:fmtId val="28"/>
  </c:pivotSource>
  <c:chart>
    <c:autoTitleDeleted val="1"/>
    <c:pivotFmts>
      <c:pivotFmt>
        <c:idx val="0"/>
        <c:spPr>
          <a:solidFill>
            <a:schemeClr val="bg2">
              <a:lumMod val="75000"/>
            </a:schemeClr>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75000"/>
            </a:schemeClr>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75000"/>
            </a:schemeClr>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53158980127484"/>
          <c:y val="2.6839292629404932E-2"/>
          <c:w val="0.80866185476815411"/>
          <c:h val="0.8416746864975212"/>
        </c:manualLayout>
      </c:layout>
      <c:barChart>
        <c:barDir val="bar"/>
        <c:grouping val="clustered"/>
        <c:varyColors val="0"/>
        <c:ser>
          <c:idx val="0"/>
          <c:order val="0"/>
          <c:tx>
            <c:strRef>
              <c:f>CALCULATIONS!$C$5</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CALCULATIONS!$B$6:$B$16</c:f>
              <c:strCache>
                <c:ptCount val="10"/>
                <c:pt idx="0">
                  <c:v>PRJ-042</c:v>
                </c:pt>
                <c:pt idx="1">
                  <c:v>PRJ-007</c:v>
                </c:pt>
                <c:pt idx="2">
                  <c:v>PRJ-031</c:v>
                </c:pt>
                <c:pt idx="3">
                  <c:v>PRJ-045</c:v>
                </c:pt>
                <c:pt idx="4">
                  <c:v>PRJ-021</c:v>
                </c:pt>
                <c:pt idx="5">
                  <c:v>PRJ-027</c:v>
                </c:pt>
                <c:pt idx="6">
                  <c:v>PRJ-033</c:v>
                </c:pt>
                <c:pt idx="7">
                  <c:v>PRJ-026</c:v>
                </c:pt>
                <c:pt idx="8">
                  <c:v>PRJ-004</c:v>
                </c:pt>
                <c:pt idx="9">
                  <c:v>PRJ-005</c:v>
                </c:pt>
              </c:strCache>
            </c:strRef>
          </c:cat>
          <c:val>
            <c:numRef>
              <c:f>CALCULATIONS!$C$6:$C$16</c:f>
              <c:numCache>
                <c:formatCode>0.0\%</c:formatCode>
                <c:ptCount val="10"/>
                <c:pt idx="0">
                  <c:v>31.68</c:v>
                </c:pt>
                <c:pt idx="1">
                  <c:v>33.4</c:v>
                </c:pt>
                <c:pt idx="2">
                  <c:v>36.46</c:v>
                </c:pt>
                <c:pt idx="3">
                  <c:v>45.39</c:v>
                </c:pt>
                <c:pt idx="4">
                  <c:v>45.92</c:v>
                </c:pt>
                <c:pt idx="5">
                  <c:v>47.76</c:v>
                </c:pt>
                <c:pt idx="6">
                  <c:v>50.55</c:v>
                </c:pt>
                <c:pt idx="7">
                  <c:v>51.14</c:v>
                </c:pt>
                <c:pt idx="8">
                  <c:v>53.39</c:v>
                </c:pt>
                <c:pt idx="9">
                  <c:v>54.11</c:v>
                </c:pt>
              </c:numCache>
            </c:numRef>
          </c:val>
          <c:extLst>
            <c:ext xmlns:c16="http://schemas.microsoft.com/office/drawing/2014/chart" uri="{C3380CC4-5D6E-409C-BE32-E72D297353CC}">
              <c16:uniqueId val="{00000000-ECBA-4550-A814-A1A3CF79EFE3}"/>
            </c:ext>
          </c:extLst>
        </c:ser>
        <c:dLbls>
          <c:showLegendKey val="0"/>
          <c:showVal val="1"/>
          <c:showCatName val="0"/>
          <c:showSerName val="0"/>
          <c:showPercent val="0"/>
          <c:showBubbleSize val="0"/>
        </c:dLbls>
        <c:gapWidth val="80"/>
        <c:axId val="1867556735"/>
        <c:axId val="1867544735"/>
      </c:barChart>
      <c:catAx>
        <c:axId val="1867556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67544735"/>
        <c:crosses val="autoZero"/>
        <c:auto val="1"/>
        <c:lblAlgn val="ctr"/>
        <c:lblOffset val="100"/>
        <c:noMultiLvlLbl val="0"/>
      </c:catAx>
      <c:valAx>
        <c:axId val="1867544735"/>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67556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[Construction_Dashboard_and_Analysis.xlsx]CALCULATIONS!PivotTable4</c:name>
    <c:fmtId val="42"/>
  </c:pivotSource>
  <c:chart>
    <c:autoTitleDeleted val="1"/>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a:sp3d/>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a:sp3d/>
        </c:spPr>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CALCULATIONS!$C$27</c:f>
              <c:strCache>
                <c:ptCount val="1"/>
                <c:pt idx="0">
                  <c:v>Total</c:v>
                </c:pt>
              </c:strCache>
            </c:strRef>
          </c:tx>
          <c:spPr>
            <a:solidFill>
              <a:schemeClr val="accent6"/>
            </a:solidFill>
            <a:ln>
              <a:noFill/>
            </a:ln>
            <a:effectLst/>
          </c:spPr>
          <c:invertIfNegative val="0"/>
          <c:cat>
            <c:strRef>
              <c:f>CALCULATIONS!$B$28:$B$34</c:f>
              <c:strCache>
                <c:ptCount val="6"/>
                <c:pt idx="0">
                  <c:v>Construction</c:v>
                </c:pt>
                <c:pt idx="1">
                  <c:v>Procurement</c:v>
                </c:pt>
                <c:pt idx="2">
                  <c:v>Testing &amp; Commissioning</c:v>
                </c:pt>
                <c:pt idx="3">
                  <c:v>Design</c:v>
                </c:pt>
                <c:pt idx="4">
                  <c:v>Mobilisation</c:v>
                </c:pt>
                <c:pt idx="5">
                  <c:v>Handover</c:v>
                </c:pt>
              </c:strCache>
            </c:strRef>
          </c:cat>
          <c:val>
            <c:numRef>
              <c:f>CALCULATIONS!$C$28:$C$34</c:f>
              <c:numCache>
                <c:formatCode>_(* #,##0_);_(* \(#,##0\);_(* "-"??_);_(@_)</c:formatCode>
                <c:ptCount val="6"/>
                <c:pt idx="0">
                  <c:v>5332441000</c:v>
                </c:pt>
                <c:pt idx="1">
                  <c:v>1393739000</c:v>
                </c:pt>
                <c:pt idx="2">
                  <c:v>888446000</c:v>
                </c:pt>
                <c:pt idx="3">
                  <c:v>879441000</c:v>
                </c:pt>
                <c:pt idx="4">
                  <c:v>675478000</c:v>
                </c:pt>
                <c:pt idx="5">
                  <c:v>468754000</c:v>
                </c:pt>
              </c:numCache>
            </c:numRef>
          </c:val>
          <c:extLst>
            <c:ext xmlns:c16="http://schemas.microsoft.com/office/drawing/2014/chart" uri="{C3380CC4-5D6E-409C-BE32-E72D297353CC}">
              <c16:uniqueId val="{00000000-A92E-4752-B36E-86BAC303087B}"/>
            </c:ext>
          </c:extLst>
        </c:ser>
        <c:dLbls>
          <c:showLegendKey val="0"/>
          <c:showVal val="0"/>
          <c:showCatName val="0"/>
          <c:showSerName val="0"/>
          <c:showPercent val="0"/>
          <c:showBubbleSize val="0"/>
        </c:dLbls>
        <c:gapWidth val="100"/>
        <c:axId val="1990610111"/>
        <c:axId val="1990604831"/>
      </c:barChart>
      <c:catAx>
        <c:axId val="1990610111"/>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90604831"/>
        <c:crosses val="autoZero"/>
        <c:auto val="1"/>
        <c:lblAlgn val="ctr"/>
        <c:lblOffset val="100"/>
        <c:noMultiLvlLbl val="0"/>
      </c:catAx>
      <c:valAx>
        <c:axId val="199060483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90610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[Construction_Dashboard_and_Analysis.xlsx]CALCULATIONS!PivotTable6</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a:sp3d/>
        </c:spPr>
      </c:pivotFmt>
      <c:pivotFmt>
        <c:idx val="15"/>
        <c:spPr>
          <a:solidFill>
            <a:schemeClr val="accent3"/>
          </a:solidFill>
          <a:ln>
            <a:noFill/>
          </a:ln>
          <a:effectLst/>
          <a:sp3d/>
        </c:spPr>
      </c:pivotFmt>
      <c:pivotFmt>
        <c:idx val="16"/>
        <c:spPr>
          <a:solidFill>
            <a:schemeClr val="accent3"/>
          </a:solidFill>
          <a:ln>
            <a:noFill/>
          </a:ln>
          <a:effectLst/>
          <a:sp3d/>
        </c:spPr>
      </c:pivotFmt>
      <c:pivotFmt>
        <c:idx val="17"/>
        <c:spPr>
          <a:solidFill>
            <a:schemeClr val="accent3"/>
          </a:solidFill>
          <a:ln>
            <a:noFill/>
          </a:ln>
          <a:effectLst/>
          <a:sp3d/>
        </c:spPr>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a:sp3d/>
        </c:spPr>
        <c:dLbl>
          <c:idx val="0"/>
          <c:layout>
            <c:manualLayout>
              <c:x val="-3.7052197209883385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a:sp3d/>
        </c:spPr>
      </c:pivotFmt>
      <c:pivotFmt>
        <c:idx val="22"/>
        <c:spPr>
          <a:solidFill>
            <a:schemeClr val="accent6"/>
          </a:solidFill>
          <a:ln>
            <a:noFill/>
          </a:ln>
          <a:effectLst/>
          <a:sp3d/>
        </c:spPr>
        <c:dLbl>
          <c:idx val="0"/>
          <c:layout>
            <c:manualLayout>
              <c:x val="-1.111565916296474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AE840383-3CC3-44C1-86D3-5E8B08005028}" type="VALUE">
                  <a:rPr lang="en-US" b="1">
                    <a:solidFill>
                      <a:schemeClr val="tx1"/>
                    </a:solidFill>
                  </a:rPr>
                  <a:pPr>
                    <a:defRPr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rgbClr val="FF0000"/>
          </a:solidFill>
          <a:ln>
            <a:noFill/>
          </a:ln>
          <a:effectLst/>
        </c:spPr>
      </c:pivotFmt>
      <c:pivotFmt>
        <c:idx val="25"/>
        <c:spPr>
          <a:solidFill>
            <a:srgbClr val="FF0000"/>
          </a:solidFill>
          <a:ln>
            <a:noFill/>
          </a:ln>
          <a:effectLst/>
        </c:spPr>
      </c:pivotFmt>
      <c:pivotFmt>
        <c:idx val="26"/>
        <c:spPr>
          <a:solidFill>
            <a:srgbClr val="FF0000"/>
          </a:solidFill>
          <a:ln>
            <a:noFill/>
          </a:ln>
          <a:effectLst/>
        </c:spPr>
      </c:pivotFmt>
      <c:pivotFmt>
        <c:idx val="27"/>
        <c:spPr>
          <a:solidFill>
            <a:srgbClr val="FF0000"/>
          </a:solidFill>
          <a:ln>
            <a:noFill/>
          </a:ln>
          <a:effectLst/>
        </c:spPr>
      </c:pivotFmt>
      <c:pivotFmt>
        <c:idx val="28"/>
        <c:spPr>
          <a:solidFill>
            <a:srgbClr val="FF0000"/>
          </a:solidFill>
          <a:ln>
            <a:noFill/>
          </a:ln>
          <a:effectLst/>
        </c:spPr>
      </c:pivotFmt>
      <c:pivotFmt>
        <c:idx val="29"/>
        <c:spPr>
          <a:solidFill>
            <a:srgbClr val="FF0000"/>
          </a:solidFill>
          <a:ln>
            <a:noFill/>
          </a:ln>
          <a:effectLst/>
        </c:spPr>
      </c:pivotFmt>
    </c:pivotFmts>
    <c:plotArea>
      <c:layout/>
      <c:barChart>
        <c:barDir val="bar"/>
        <c:grouping val="clustered"/>
        <c:varyColors val="0"/>
        <c:ser>
          <c:idx val="0"/>
          <c:order val="0"/>
          <c:tx>
            <c:strRef>
              <c:f>CALCULATIONS!$C$46</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16-B72E-4445-83E9-E7CFCB9FCD3B}"/>
              </c:ext>
            </c:extLst>
          </c:dPt>
          <c:dPt>
            <c:idx val="1"/>
            <c:invertIfNegative val="0"/>
            <c:bubble3D val="0"/>
            <c:spPr>
              <a:solidFill>
                <a:srgbClr val="FF0000"/>
              </a:solidFill>
              <a:ln>
                <a:noFill/>
              </a:ln>
              <a:effectLst/>
            </c:spPr>
            <c:extLst>
              <c:ext xmlns:c16="http://schemas.microsoft.com/office/drawing/2014/chart" uri="{C3380CC4-5D6E-409C-BE32-E72D297353CC}">
                <c16:uniqueId val="{00000015-B72E-4445-83E9-E7CFCB9FCD3B}"/>
              </c:ext>
            </c:extLst>
          </c:dPt>
          <c:dPt>
            <c:idx val="2"/>
            <c:invertIfNegative val="0"/>
            <c:bubble3D val="0"/>
            <c:spPr>
              <a:solidFill>
                <a:srgbClr val="FF0000"/>
              </a:solidFill>
              <a:ln>
                <a:noFill/>
              </a:ln>
              <a:effectLst/>
            </c:spPr>
            <c:extLst>
              <c:ext xmlns:c16="http://schemas.microsoft.com/office/drawing/2014/chart" uri="{C3380CC4-5D6E-409C-BE32-E72D297353CC}">
                <c16:uniqueId val="{00000014-B72E-4445-83E9-E7CFCB9FCD3B}"/>
              </c:ext>
            </c:extLst>
          </c:dPt>
          <c:dPt>
            <c:idx val="3"/>
            <c:invertIfNegative val="0"/>
            <c:bubble3D val="0"/>
            <c:spPr>
              <a:solidFill>
                <a:srgbClr val="FF0000"/>
              </a:solidFill>
              <a:ln>
                <a:noFill/>
              </a:ln>
              <a:effectLst/>
            </c:spPr>
            <c:extLst>
              <c:ext xmlns:c16="http://schemas.microsoft.com/office/drawing/2014/chart" uri="{C3380CC4-5D6E-409C-BE32-E72D297353CC}">
                <c16:uniqueId val="{00000013-B72E-4445-83E9-E7CFCB9FCD3B}"/>
              </c:ext>
            </c:extLst>
          </c:dPt>
          <c:dPt>
            <c:idx val="4"/>
            <c:invertIfNegative val="0"/>
            <c:bubble3D val="0"/>
            <c:spPr>
              <a:solidFill>
                <a:srgbClr val="FF0000"/>
              </a:solidFill>
              <a:ln>
                <a:noFill/>
              </a:ln>
              <a:effectLst/>
            </c:spPr>
            <c:extLst>
              <c:ext xmlns:c16="http://schemas.microsoft.com/office/drawing/2014/chart" uri="{C3380CC4-5D6E-409C-BE32-E72D297353CC}">
                <c16:uniqueId val="{00000012-B72E-4445-83E9-E7CFCB9FCD3B}"/>
              </c:ext>
            </c:extLst>
          </c:dPt>
          <c:dPt>
            <c:idx val="5"/>
            <c:invertIfNegative val="0"/>
            <c:bubble3D val="0"/>
            <c:spPr>
              <a:solidFill>
                <a:srgbClr val="FF0000"/>
              </a:solidFill>
              <a:ln>
                <a:noFill/>
              </a:ln>
              <a:effectLst/>
            </c:spPr>
            <c:extLst>
              <c:ext xmlns:c16="http://schemas.microsoft.com/office/drawing/2014/chart" uri="{C3380CC4-5D6E-409C-BE32-E72D297353CC}">
                <c16:uniqueId val="{00000011-B72E-4445-83E9-E7CFCB9FCD3B}"/>
              </c:ext>
            </c:extLst>
          </c:dPt>
          <c:dPt>
            <c:idx val="6"/>
            <c:invertIfNegative val="0"/>
            <c:bubble3D val="0"/>
            <c:spPr>
              <a:solidFill>
                <a:schemeClr val="accent6"/>
              </a:solidFill>
              <a:ln>
                <a:noFill/>
              </a:ln>
              <a:effectLst/>
              <a:sp3d/>
            </c:spPr>
            <c:extLst>
              <c:ext xmlns:c16="http://schemas.microsoft.com/office/drawing/2014/chart" uri="{C3380CC4-5D6E-409C-BE32-E72D297353CC}">
                <c16:uniqueId val="{0000000D-CFFE-4220-A9E4-69EDFBAC7B7A}"/>
              </c:ext>
            </c:extLst>
          </c:dPt>
          <c:dPt>
            <c:idx val="7"/>
            <c:invertIfNegative val="0"/>
            <c:bubble3D val="0"/>
            <c:spPr>
              <a:solidFill>
                <a:schemeClr val="accent6"/>
              </a:solidFill>
              <a:ln>
                <a:noFill/>
              </a:ln>
              <a:effectLst/>
              <a:sp3d/>
            </c:spPr>
            <c:extLst>
              <c:ext xmlns:c16="http://schemas.microsoft.com/office/drawing/2014/chart" uri="{C3380CC4-5D6E-409C-BE32-E72D297353CC}">
                <c16:uniqueId val="{0000000F-CFFE-4220-A9E4-69EDFBAC7B7A}"/>
              </c:ext>
            </c:extLst>
          </c:dPt>
          <c:dPt>
            <c:idx val="8"/>
            <c:invertIfNegative val="0"/>
            <c:bubble3D val="0"/>
            <c:spPr>
              <a:solidFill>
                <a:schemeClr val="accent6"/>
              </a:solidFill>
              <a:ln>
                <a:noFill/>
              </a:ln>
              <a:effectLst/>
              <a:sp3d/>
            </c:spPr>
            <c:extLst>
              <c:ext xmlns:c16="http://schemas.microsoft.com/office/drawing/2014/chart" uri="{C3380CC4-5D6E-409C-BE32-E72D297353CC}">
                <c16:uniqueId val="{00000011-CFFE-4220-A9E4-69EDFBAC7B7A}"/>
              </c:ext>
            </c:extLst>
          </c:dPt>
          <c:dPt>
            <c:idx val="9"/>
            <c:invertIfNegative val="0"/>
            <c:bubble3D val="0"/>
            <c:spPr>
              <a:solidFill>
                <a:schemeClr val="accent6"/>
              </a:solidFill>
              <a:ln>
                <a:noFill/>
              </a:ln>
              <a:effectLst/>
              <a:sp3d/>
            </c:spPr>
            <c:extLst>
              <c:ext xmlns:c16="http://schemas.microsoft.com/office/drawing/2014/chart" uri="{C3380CC4-5D6E-409C-BE32-E72D297353CC}">
                <c16:uniqueId val="{00000013-CFFE-4220-A9E4-69EDFBAC7B7A}"/>
              </c:ext>
            </c:extLst>
          </c:dPt>
          <c:dLbls>
            <c:dLbl>
              <c:idx val="6"/>
              <c:layout>
                <c:manualLayout>
                  <c:x val="-3.7052197209883385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FFE-4220-A9E4-69EDFBAC7B7A}"/>
                </c:ext>
              </c:extLst>
            </c:dLbl>
            <c:dLbl>
              <c:idx val="8"/>
              <c:layout>
                <c:manualLayout>
                  <c:x val="-1.111565916296474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FFE-4220-A9E4-69EDFBAC7B7A}"/>
                </c:ext>
              </c:extLst>
            </c:dLbl>
            <c:dLbl>
              <c:idx val="9"/>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AE840383-3CC3-44C1-86D3-5E8B08005028}" type="VALUE">
                      <a:rPr lang="en-US" b="1">
                        <a:solidFill>
                          <a:schemeClr val="tx1"/>
                        </a:solidFill>
                      </a:rPr>
                      <a:pPr>
                        <a:defRPr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3-CFFE-4220-A9E4-69EDFBAC7B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CALCULATIONS!$B$47:$B$57</c:f>
              <c:strCache>
                <c:ptCount val="10"/>
                <c:pt idx="0">
                  <c:v>Horizon Builders</c:v>
                </c:pt>
                <c:pt idx="1">
                  <c:v>Fedex Const. Co.</c:v>
                </c:pt>
                <c:pt idx="2">
                  <c:v>Pioneer Builders Ltd</c:v>
                </c:pt>
                <c:pt idx="3">
                  <c:v>Mainland Const. Co.</c:v>
                </c:pt>
                <c:pt idx="4">
                  <c:v>Greenfield Eng Ltd</c:v>
                </c:pt>
                <c:pt idx="5">
                  <c:v>Nile Construction</c:v>
                </c:pt>
                <c:pt idx="6">
                  <c:v>BuildRight Nig Ltd</c:v>
                </c:pt>
                <c:pt idx="7">
                  <c:v>Tetrazzini &amp; Sons Ltd</c:v>
                </c:pt>
                <c:pt idx="8">
                  <c:v>Apex Infra Ltd</c:v>
                </c:pt>
                <c:pt idx="9">
                  <c:v>Grandeur Works</c:v>
                </c:pt>
              </c:strCache>
            </c:strRef>
          </c:cat>
          <c:val>
            <c:numRef>
              <c:f>CALCULATIONS!$C$47:$C$57</c:f>
              <c:numCache>
                <c:formatCode>0.0\%</c:formatCode>
                <c:ptCount val="10"/>
                <c:pt idx="0">
                  <c:v>25.7</c:v>
                </c:pt>
                <c:pt idx="1">
                  <c:v>29.09</c:v>
                </c:pt>
                <c:pt idx="2">
                  <c:v>29.82</c:v>
                </c:pt>
                <c:pt idx="3">
                  <c:v>30.85</c:v>
                </c:pt>
                <c:pt idx="4">
                  <c:v>32.44</c:v>
                </c:pt>
                <c:pt idx="5">
                  <c:v>33.83</c:v>
                </c:pt>
                <c:pt idx="6">
                  <c:v>36.49</c:v>
                </c:pt>
                <c:pt idx="7">
                  <c:v>36.79</c:v>
                </c:pt>
                <c:pt idx="8">
                  <c:v>52.07</c:v>
                </c:pt>
                <c:pt idx="9">
                  <c:v>53.04</c:v>
                </c:pt>
              </c:numCache>
            </c:numRef>
          </c:val>
          <c:extLst>
            <c:ext xmlns:c16="http://schemas.microsoft.com/office/drawing/2014/chart" uri="{C3380CC4-5D6E-409C-BE32-E72D297353CC}">
              <c16:uniqueId val="{00000000-B72E-4445-83E9-E7CFCB9FCD3B}"/>
            </c:ext>
          </c:extLst>
        </c:ser>
        <c:dLbls>
          <c:showLegendKey val="0"/>
          <c:showVal val="0"/>
          <c:showCatName val="0"/>
          <c:showSerName val="0"/>
          <c:showPercent val="0"/>
          <c:showBubbleSize val="0"/>
        </c:dLbls>
        <c:gapWidth val="150"/>
        <c:axId val="1086757631"/>
        <c:axId val="1086754271"/>
      </c:barChart>
      <c:catAx>
        <c:axId val="1086757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086754271"/>
        <c:crosses val="autoZero"/>
        <c:auto val="1"/>
        <c:lblAlgn val="ctr"/>
        <c:lblOffset val="100"/>
        <c:noMultiLvlLbl val="0"/>
      </c:catAx>
      <c:valAx>
        <c:axId val="1086754271"/>
        <c:scaling>
          <c:orientation val="minMax"/>
        </c:scaling>
        <c:delete val="0"/>
        <c:axPos val="b"/>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08675763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[Construction_Dashboard_and_Analysis.xlsx]CALCULATIONS!PivotTable7</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5.7095285857572717E-2"/>
              <c:y val="-0.13657410489423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2439719157472418"/>
              <c:y val="-1.95105864134626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w="19050">
            <a:solidFill>
              <a:schemeClr val="lt1"/>
            </a:solidFill>
          </a:ln>
          <a:effectLst/>
        </c:spPr>
        <c:dLbl>
          <c:idx val="0"/>
          <c:layout>
            <c:manualLayout>
              <c:x val="-7.5000000000000025E-2"/>
              <c:y val="0.123567047285263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dLbl>
          <c:idx val="0"/>
          <c:layout>
            <c:manualLayout>
              <c:x val="5.7095285857572717E-2"/>
              <c:y val="-0.13657410489423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dLbl>
          <c:idx val="0"/>
          <c:layout>
            <c:manualLayout>
              <c:x val="0.12439719157472418"/>
              <c:y val="-1.95105864134626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w="19050">
            <a:solidFill>
              <a:schemeClr val="lt1"/>
            </a:solidFill>
          </a:ln>
          <a:effectLst/>
        </c:spPr>
        <c:dLbl>
          <c:idx val="0"/>
          <c:layout>
            <c:manualLayout>
              <c:x val="-7.5000000000000025E-2"/>
              <c:y val="0.123567047285263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w="19050">
            <a:solidFill>
              <a:schemeClr val="lt1"/>
            </a:solidFill>
          </a:ln>
          <a:effectLst/>
        </c:spPr>
        <c:dLbl>
          <c:idx val="0"/>
          <c:layout>
            <c:manualLayout>
              <c:x val="5.7095285857572717E-2"/>
              <c:y val="-0.13657410489423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w="19050">
            <a:solidFill>
              <a:schemeClr val="lt1"/>
            </a:solidFill>
          </a:ln>
          <a:effectLst/>
        </c:spPr>
        <c:dLbl>
          <c:idx val="0"/>
          <c:layout>
            <c:manualLayout>
              <c:x val="0.12439719157472418"/>
              <c:y val="-1.95105864134626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w="19050">
            <a:solidFill>
              <a:schemeClr val="lt1"/>
            </a:solidFill>
          </a:ln>
          <a:effectLst/>
        </c:spPr>
        <c:dLbl>
          <c:idx val="0"/>
          <c:layout>
            <c:manualLayout>
              <c:x val="-7.5000000000000025E-2"/>
              <c:y val="0.123567047285263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CALCULATIONS!$C$66</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0A0A-4298-BADD-D7DE53BE188F}"/>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0A0A-4298-BADD-D7DE53BE188F}"/>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0A0A-4298-BADD-D7DE53BE188F}"/>
              </c:ext>
            </c:extLst>
          </c:dPt>
          <c:dLbls>
            <c:dLbl>
              <c:idx val="0"/>
              <c:layout>
                <c:manualLayout>
                  <c:x val="5.7095285857572717E-2"/>
                  <c:y val="-0.13657410489423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0A-4298-BADD-D7DE53BE188F}"/>
                </c:ext>
              </c:extLst>
            </c:dLbl>
            <c:dLbl>
              <c:idx val="1"/>
              <c:layout>
                <c:manualLayout>
                  <c:x val="0.12439719157472418"/>
                  <c:y val="-1.95105864134626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0A-4298-BADD-D7DE53BE188F}"/>
                </c:ext>
              </c:extLst>
            </c:dLbl>
            <c:dLbl>
              <c:idx val="2"/>
              <c:layout>
                <c:manualLayout>
                  <c:x val="-7.5000000000000025E-2"/>
                  <c:y val="0.123567047285263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0A-4298-BADD-D7DE53BE188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CALCULATIONS!$B$67:$B$70</c:f>
              <c:strCache>
                <c:ptCount val="3"/>
                <c:pt idx="0">
                  <c:v>High Risk</c:v>
                </c:pt>
                <c:pt idx="1">
                  <c:v>Low Risk</c:v>
                </c:pt>
                <c:pt idx="2">
                  <c:v>Moderate Risk</c:v>
                </c:pt>
              </c:strCache>
            </c:strRef>
          </c:cat>
          <c:val>
            <c:numRef>
              <c:f>CALCULATIONS!$C$67:$C$70</c:f>
              <c:numCache>
                <c:formatCode>0.00%</c:formatCode>
                <c:ptCount val="3"/>
                <c:pt idx="0">
                  <c:v>0.12244897959183673</c:v>
                </c:pt>
                <c:pt idx="1">
                  <c:v>0.14285714285714285</c:v>
                </c:pt>
                <c:pt idx="2">
                  <c:v>0.73469387755102045</c:v>
                </c:pt>
              </c:numCache>
            </c:numRef>
          </c:val>
          <c:extLst>
            <c:ext xmlns:c16="http://schemas.microsoft.com/office/drawing/2014/chart" uri="{C3380CC4-5D6E-409C-BE32-E72D297353CC}">
              <c16:uniqueId val="{00000006-0A0A-4298-BADD-D7DE53BE188F}"/>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9145341207349096"/>
          <c:y val="0.56300178309348792"/>
          <c:w val="0.19187992125984249"/>
          <c:h val="0.40728579578100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[Construction_Dashboard_and_Analysis.xlsx]CALCULATIONS!PivotTable8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CALCULATIONS!$C$82</c:f>
              <c:strCache>
                <c:ptCount val="1"/>
                <c:pt idx="0">
                  <c:v>Total</c:v>
                </c:pt>
              </c:strCache>
            </c:strRef>
          </c:tx>
          <c:spPr>
            <a:solidFill>
              <a:schemeClr val="accent1"/>
            </a:solidFill>
            <a:ln>
              <a:noFill/>
            </a:ln>
            <a:effectLst/>
          </c:spPr>
          <c:invertIfNegative val="0"/>
          <c:cat>
            <c:strRef>
              <c:f>CALCULATIONS!$B$83:$B$101</c:f>
              <c:strCache>
                <c:ptCount val="18"/>
                <c:pt idx="0">
                  <c:v>Abuja</c:v>
                </c:pt>
                <c:pt idx="1">
                  <c:v>Adverse weather</c:v>
                </c:pt>
                <c:pt idx="2">
                  <c:v>AECOM Nigeria</c:v>
                </c:pt>
                <c:pt idx="3">
                  <c:v>Bridge</c:v>
                </c:pt>
                <c:pt idx="4">
                  <c:v>CCECC Consult</c:v>
                </c:pt>
                <c:pt idx="5">
                  <c:v>Community protest</c:v>
                </c:pt>
                <c:pt idx="6">
                  <c:v>Culvert</c:v>
                </c:pt>
                <c:pt idx="7">
                  <c:v>Delta</c:v>
                </c:pt>
                <c:pt idx="8">
                  <c:v>Design changes</c:v>
                </c:pt>
                <c:pt idx="9">
                  <c:v>Drainage System</c:v>
                </c:pt>
                <c:pt idx="10">
                  <c:v>Enugu</c:v>
                </c:pt>
                <c:pt idx="11">
                  <c:v>Equipment breakdown</c:v>
                </c:pt>
                <c:pt idx="12">
                  <c:v>Erosion Control</c:v>
                </c:pt>
                <c:pt idx="13">
                  <c:v>Kano</c:v>
                </c:pt>
                <c:pt idx="14">
                  <c:v>Labour dispute</c:v>
                </c:pt>
                <c:pt idx="15">
                  <c:v>Rivers</c:v>
                </c:pt>
                <c:pt idx="16">
                  <c:v>School Block</c:v>
                </c:pt>
                <c:pt idx="17">
                  <c:v>Scott Wilson</c:v>
                </c:pt>
              </c:strCache>
            </c:strRef>
          </c:cat>
          <c:val>
            <c:numRef>
              <c:f>CALCULATIONS!$C$83:$C$101</c:f>
              <c:numCache>
                <c:formatCode>General</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Cache>
            </c:numRef>
          </c:val>
          <c:extLst>
            <c:ext xmlns:c16="http://schemas.microsoft.com/office/drawing/2014/chart" uri="{C3380CC4-5D6E-409C-BE32-E72D297353CC}">
              <c16:uniqueId val="{00000000-A973-476A-95F7-C51E95A58C12}"/>
            </c:ext>
          </c:extLst>
        </c:ser>
        <c:dLbls>
          <c:showLegendKey val="0"/>
          <c:showVal val="0"/>
          <c:showCatName val="0"/>
          <c:showSerName val="0"/>
          <c:showPercent val="0"/>
          <c:showBubbleSize val="0"/>
        </c:dLbls>
        <c:gapWidth val="100"/>
        <c:overlap val="-27"/>
        <c:axId val="1867551455"/>
        <c:axId val="1990607711"/>
      </c:barChart>
      <c:catAx>
        <c:axId val="18675514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0607711"/>
        <c:crosses val="autoZero"/>
        <c:auto val="1"/>
        <c:lblAlgn val="ctr"/>
        <c:lblOffset val="100"/>
        <c:noMultiLvlLbl val="0"/>
      </c:catAx>
      <c:valAx>
        <c:axId val="1990607711"/>
        <c:scaling>
          <c:orientation val="minMax"/>
          <c:max val="1"/>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67551455"/>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[Construction_Dashboard_and_Analysis.xlsx]CALCULATIONS!PivotTable3</c:name>
    <c:fmtId val="14"/>
  </c:pivotSource>
  <c:chart>
    <c:autoTitleDeleted val="1"/>
    <c:pivotFmts>
      <c:pivotFmt>
        <c:idx val="0"/>
        <c:spPr>
          <a:solidFill>
            <a:schemeClr val="bg2">
              <a:lumMod val="75000"/>
            </a:schemeClr>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a:sp3d/>
        </c:spPr>
      </c:pivotFmt>
      <c:pivotFmt>
        <c:idx val="2"/>
        <c:spPr>
          <a:solidFill>
            <a:schemeClr val="bg2">
              <a:lumMod val="75000"/>
            </a:schemeClr>
          </a:solidFill>
          <a:ln>
            <a:noFill/>
          </a:ln>
          <a:effectLst/>
          <a:sp3d/>
        </c:spPr>
      </c:pivotFmt>
      <c:pivotFmt>
        <c:idx val="3"/>
        <c:spPr>
          <a:solidFill>
            <a:schemeClr val="bg2">
              <a:lumMod val="75000"/>
            </a:schemeClr>
          </a:solidFill>
          <a:ln>
            <a:noFill/>
          </a:ln>
          <a:effectLst/>
          <a:sp3d/>
        </c:spPr>
      </c:pivotFmt>
      <c:pivotFmt>
        <c:idx val="4"/>
        <c:spPr>
          <a:solidFill>
            <a:schemeClr val="bg2">
              <a:lumMod val="75000"/>
            </a:schemeClr>
          </a:solidFill>
          <a:ln>
            <a:noFill/>
          </a:ln>
          <a:effectLst/>
          <a:sp3d/>
        </c:spPr>
      </c:pivotFmt>
      <c:pivotFmt>
        <c:idx val="5"/>
        <c:spPr>
          <a:solidFill>
            <a:schemeClr val="bg2">
              <a:lumMod val="75000"/>
            </a:schemeClr>
          </a:solidFill>
          <a:ln>
            <a:noFill/>
          </a:ln>
          <a:effectLst/>
          <a:sp3d/>
        </c:spPr>
      </c:pivotFmt>
      <c:pivotFmt>
        <c:idx val="6"/>
        <c:spPr>
          <a:solidFill>
            <a:schemeClr val="bg2">
              <a:lumMod val="75000"/>
            </a:schemeClr>
          </a:solidFill>
          <a:ln>
            <a:noFill/>
          </a:ln>
          <a:effectLst/>
          <a:sp3d/>
        </c:spPr>
      </c:pivotFmt>
      <c:pivotFmt>
        <c:idx val="7"/>
        <c:spPr>
          <a:solidFill>
            <a:schemeClr val="bg2">
              <a:lumMod val="75000"/>
            </a:schemeClr>
          </a:solidFill>
          <a:ln>
            <a:noFill/>
          </a:ln>
          <a:effectLst/>
          <a:sp3d/>
        </c:spPr>
      </c:pivotFmt>
      <c:pivotFmt>
        <c:idx val="8"/>
        <c:spPr>
          <a:solidFill>
            <a:schemeClr val="bg2">
              <a:lumMod val="75000"/>
            </a:schemeClr>
          </a:solidFill>
          <a:ln>
            <a:noFill/>
          </a:ln>
          <a:effectLst/>
          <a:sp3d/>
        </c:spPr>
      </c:pivotFmt>
      <c:pivotFmt>
        <c:idx val="9"/>
        <c:spPr>
          <a:solidFill>
            <a:schemeClr val="bg2">
              <a:lumMod val="75000"/>
            </a:schemeClr>
          </a:solidFill>
          <a:ln>
            <a:noFill/>
          </a:ln>
          <a:effectLst/>
          <a:sp3d/>
        </c:spPr>
      </c:pivotFmt>
      <c:pivotFmt>
        <c:idx val="10"/>
        <c:spPr>
          <a:solidFill>
            <a:schemeClr val="bg2">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135892388451444"/>
          <c:y val="5.0925925925925923E-2"/>
          <c:w val="0.80866185476815411"/>
          <c:h val="0.8416746864975212"/>
        </c:manualLayout>
      </c:layout>
      <c:bar3DChart>
        <c:barDir val="bar"/>
        <c:grouping val="stacked"/>
        <c:varyColors val="0"/>
        <c:ser>
          <c:idx val="0"/>
          <c:order val="0"/>
          <c:tx>
            <c:strRef>
              <c:f>CALCULATIONS!$C$5</c:f>
              <c:strCache>
                <c:ptCount val="1"/>
                <c:pt idx="0">
                  <c:v>Total</c:v>
                </c:pt>
              </c:strCache>
            </c:strRef>
          </c:tx>
          <c:spPr>
            <a:solidFill>
              <a:schemeClr val="bg2">
                <a:lumMod val="75000"/>
              </a:schemeClr>
            </a:solidFill>
            <a:ln>
              <a:noFill/>
            </a:ln>
            <a:effectLst/>
            <a:sp3d/>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Pt>
            <c:idx val="8"/>
            <c:invertIfNegative val="0"/>
            <c:bubble3D val="0"/>
          </c:dPt>
          <c:dPt>
            <c:idx val="9"/>
            <c:invertIfNegative val="0"/>
            <c:bubble3D val="0"/>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CALCULATIONS!$B$6:$B$16</c:f>
              <c:strCache>
                <c:ptCount val="10"/>
                <c:pt idx="0">
                  <c:v>PRJ-042</c:v>
                </c:pt>
                <c:pt idx="1">
                  <c:v>PRJ-007</c:v>
                </c:pt>
                <c:pt idx="2">
                  <c:v>PRJ-031</c:v>
                </c:pt>
                <c:pt idx="3">
                  <c:v>PRJ-045</c:v>
                </c:pt>
                <c:pt idx="4">
                  <c:v>PRJ-021</c:v>
                </c:pt>
                <c:pt idx="5">
                  <c:v>PRJ-027</c:v>
                </c:pt>
                <c:pt idx="6">
                  <c:v>PRJ-033</c:v>
                </c:pt>
                <c:pt idx="7">
                  <c:v>PRJ-026</c:v>
                </c:pt>
                <c:pt idx="8">
                  <c:v>PRJ-004</c:v>
                </c:pt>
                <c:pt idx="9">
                  <c:v>PRJ-005</c:v>
                </c:pt>
              </c:strCache>
            </c:strRef>
          </c:cat>
          <c:val>
            <c:numRef>
              <c:f>CALCULATIONS!$C$6:$C$16</c:f>
              <c:numCache>
                <c:formatCode>0.0\%</c:formatCode>
                <c:ptCount val="10"/>
                <c:pt idx="0">
                  <c:v>31.68</c:v>
                </c:pt>
                <c:pt idx="1">
                  <c:v>33.4</c:v>
                </c:pt>
                <c:pt idx="2">
                  <c:v>36.46</c:v>
                </c:pt>
                <c:pt idx="3">
                  <c:v>45.39</c:v>
                </c:pt>
                <c:pt idx="4">
                  <c:v>45.92</c:v>
                </c:pt>
                <c:pt idx="5">
                  <c:v>47.76</c:v>
                </c:pt>
                <c:pt idx="6">
                  <c:v>50.55</c:v>
                </c:pt>
                <c:pt idx="7">
                  <c:v>51.14</c:v>
                </c:pt>
                <c:pt idx="8">
                  <c:v>53.39</c:v>
                </c:pt>
                <c:pt idx="9">
                  <c:v>54.11</c:v>
                </c:pt>
              </c:numCache>
            </c:numRef>
          </c:val>
          <c:extLst>
            <c:ext xmlns:c16="http://schemas.microsoft.com/office/drawing/2014/chart" uri="{C3380CC4-5D6E-409C-BE32-E72D297353CC}">
              <c16:uniqueId val="{00000000-F2C4-4EEF-8773-9EAE6905E308}"/>
            </c:ext>
          </c:extLst>
        </c:ser>
        <c:dLbls>
          <c:showLegendKey val="0"/>
          <c:showVal val="1"/>
          <c:showCatName val="0"/>
          <c:showSerName val="0"/>
          <c:showPercent val="0"/>
          <c:showBubbleSize val="0"/>
        </c:dLbls>
        <c:gapWidth val="80"/>
        <c:shape val="cylinder"/>
        <c:axId val="1867556735"/>
        <c:axId val="1867544735"/>
        <c:axId val="0"/>
      </c:bar3DChart>
      <c:catAx>
        <c:axId val="1867556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67544735"/>
        <c:crosses val="autoZero"/>
        <c:auto val="1"/>
        <c:lblAlgn val="ctr"/>
        <c:lblOffset val="100"/>
        <c:noMultiLvlLbl val="0"/>
      </c:catAx>
      <c:valAx>
        <c:axId val="1867544735"/>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67556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[Construction_Dashboard_and_Analysis.xlsx]CALCULATIONS!PivotTable4</c:name>
    <c:fmtId val="36"/>
  </c:pivotSource>
  <c:chart>
    <c:autoTitleDeleted val="1"/>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s>
    <c:plotArea>
      <c:layout/>
      <c:barChart>
        <c:barDir val="col"/>
        <c:grouping val="stacked"/>
        <c:varyColors val="0"/>
        <c:ser>
          <c:idx val="0"/>
          <c:order val="0"/>
          <c:tx>
            <c:strRef>
              <c:f>CALCULATIONS!$C$27</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cat>
            <c:strRef>
              <c:f>CALCULATIONS!$B$28:$B$34</c:f>
              <c:strCache>
                <c:ptCount val="6"/>
                <c:pt idx="0">
                  <c:v>Construction</c:v>
                </c:pt>
                <c:pt idx="1">
                  <c:v>Procurement</c:v>
                </c:pt>
                <c:pt idx="2">
                  <c:v>Testing &amp; Commissioning</c:v>
                </c:pt>
                <c:pt idx="3">
                  <c:v>Design</c:v>
                </c:pt>
                <c:pt idx="4">
                  <c:v>Mobilisation</c:v>
                </c:pt>
                <c:pt idx="5">
                  <c:v>Handover</c:v>
                </c:pt>
              </c:strCache>
            </c:strRef>
          </c:cat>
          <c:val>
            <c:numRef>
              <c:f>CALCULATIONS!$C$28:$C$34</c:f>
              <c:numCache>
                <c:formatCode>_(* #,##0_);_(* \(#,##0\);_(* "-"??_);_(@_)</c:formatCode>
                <c:ptCount val="6"/>
                <c:pt idx="0">
                  <c:v>5332441000</c:v>
                </c:pt>
                <c:pt idx="1">
                  <c:v>1393739000</c:v>
                </c:pt>
                <c:pt idx="2">
                  <c:v>888446000</c:v>
                </c:pt>
                <c:pt idx="3">
                  <c:v>879441000</c:v>
                </c:pt>
                <c:pt idx="4">
                  <c:v>675478000</c:v>
                </c:pt>
                <c:pt idx="5">
                  <c:v>468754000</c:v>
                </c:pt>
              </c:numCache>
            </c:numRef>
          </c:val>
          <c:extLst>
            <c:ext xmlns:c16="http://schemas.microsoft.com/office/drawing/2014/chart" uri="{C3380CC4-5D6E-409C-BE32-E72D297353CC}">
              <c16:uniqueId val="{00000000-9ECE-40A0-A268-8018199E343D}"/>
            </c:ext>
          </c:extLst>
        </c:ser>
        <c:dLbls>
          <c:showLegendKey val="0"/>
          <c:showVal val="0"/>
          <c:showCatName val="0"/>
          <c:showSerName val="0"/>
          <c:showPercent val="0"/>
          <c:showBubbleSize val="0"/>
        </c:dLbls>
        <c:gapWidth val="300"/>
        <c:overlap val="100"/>
        <c:axId val="1990610111"/>
        <c:axId val="1990604831"/>
      </c:barChart>
      <c:catAx>
        <c:axId val="1990610111"/>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90604831"/>
        <c:crosses val="autoZero"/>
        <c:auto val="1"/>
        <c:lblAlgn val="ctr"/>
        <c:lblOffset val="100"/>
        <c:noMultiLvlLbl val="0"/>
      </c:catAx>
      <c:valAx>
        <c:axId val="199060483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90610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[Construction_Dashboard_and_Analysis.xlsx]CALCULATIONS!PivotTable6</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barChart>
        <c:barDir val="bar"/>
        <c:grouping val="clustered"/>
        <c:varyColors val="0"/>
        <c:ser>
          <c:idx val="0"/>
          <c:order val="0"/>
          <c:tx>
            <c:strRef>
              <c:f>CALCULATIONS!$C$46</c:f>
              <c:strCache>
                <c:ptCount val="1"/>
                <c:pt idx="0">
                  <c:v>Total</c:v>
                </c:pt>
              </c:strCache>
            </c:strRef>
          </c:tx>
          <c:spPr>
            <a:solidFill>
              <a:schemeClr val="accent1"/>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extLst>
              <c:ext xmlns:c16="http://schemas.microsoft.com/office/drawing/2014/chart" uri="{C3380CC4-5D6E-409C-BE32-E72D297353CC}">
                <c16:uniqueId val="{00000001-0B12-46BA-913A-9064A434EC08}"/>
              </c:ext>
            </c:extLst>
          </c:dPt>
          <c:dPt>
            <c:idx val="7"/>
            <c:invertIfNegative val="0"/>
            <c:bubble3D val="0"/>
            <c:extLst>
              <c:ext xmlns:c16="http://schemas.microsoft.com/office/drawing/2014/chart" uri="{C3380CC4-5D6E-409C-BE32-E72D297353CC}">
                <c16:uniqueId val="{00000003-0B12-46BA-913A-9064A434EC08}"/>
              </c:ext>
            </c:extLst>
          </c:dPt>
          <c:dPt>
            <c:idx val="8"/>
            <c:invertIfNegative val="0"/>
            <c:bubble3D val="0"/>
            <c:extLst>
              <c:ext xmlns:c16="http://schemas.microsoft.com/office/drawing/2014/chart" uri="{C3380CC4-5D6E-409C-BE32-E72D297353CC}">
                <c16:uniqueId val="{00000005-0B12-46BA-913A-9064A434EC08}"/>
              </c:ext>
            </c:extLst>
          </c:dPt>
          <c:dPt>
            <c:idx val="9"/>
            <c:invertIfNegative val="0"/>
            <c:bubble3D val="0"/>
            <c:extLst>
              <c:ext xmlns:c16="http://schemas.microsoft.com/office/drawing/2014/chart" uri="{C3380CC4-5D6E-409C-BE32-E72D297353CC}">
                <c16:uniqueId val="{00000007-0B12-46BA-913A-9064A434EC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CALCULATIONS!$B$47:$B$57</c:f>
              <c:strCache>
                <c:ptCount val="10"/>
                <c:pt idx="0">
                  <c:v>Horizon Builders</c:v>
                </c:pt>
                <c:pt idx="1">
                  <c:v>Fedex Const. Co.</c:v>
                </c:pt>
                <c:pt idx="2">
                  <c:v>Pioneer Builders Ltd</c:v>
                </c:pt>
                <c:pt idx="3">
                  <c:v>Mainland Const. Co.</c:v>
                </c:pt>
                <c:pt idx="4">
                  <c:v>Greenfield Eng Ltd</c:v>
                </c:pt>
                <c:pt idx="5">
                  <c:v>Nile Construction</c:v>
                </c:pt>
                <c:pt idx="6">
                  <c:v>BuildRight Nig Ltd</c:v>
                </c:pt>
                <c:pt idx="7">
                  <c:v>Tetrazzini &amp; Sons Ltd</c:v>
                </c:pt>
                <c:pt idx="8">
                  <c:v>Apex Infra Ltd</c:v>
                </c:pt>
                <c:pt idx="9">
                  <c:v>Grandeur Works</c:v>
                </c:pt>
              </c:strCache>
            </c:strRef>
          </c:cat>
          <c:val>
            <c:numRef>
              <c:f>CALCULATIONS!$C$47:$C$57</c:f>
              <c:numCache>
                <c:formatCode>0.0\%</c:formatCode>
                <c:ptCount val="10"/>
                <c:pt idx="0">
                  <c:v>25.7</c:v>
                </c:pt>
                <c:pt idx="1">
                  <c:v>29.09</c:v>
                </c:pt>
                <c:pt idx="2">
                  <c:v>29.82</c:v>
                </c:pt>
                <c:pt idx="3">
                  <c:v>30.85</c:v>
                </c:pt>
                <c:pt idx="4">
                  <c:v>32.44</c:v>
                </c:pt>
                <c:pt idx="5">
                  <c:v>33.83</c:v>
                </c:pt>
                <c:pt idx="6">
                  <c:v>36.49</c:v>
                </c:pt>
                <c:pt idx="7">
                  <c:v>36.79</c:v>
                </c:pt>
                <c:pt idx="8">
                  <c:v>52.07</c:v>
                </c:pt>
                <c:pt idx="9">
                  <c:v>53.04</c:v>
                </c:pt>
              </c:numCache>
            </c:numRef>
          </c:val>
          <c:extLst>
            <c:ext xmlns:c16="http://schemas.microsoft.com/office/drawing/2014/chart" uri="{C3380CC4-5D6E-409C-BE32-E72D297353CC}">
              <c16:uniqueId val="{00000000-3778-42F7-94F0-B1BD51616504}"/>
            </c:ext>
          </c:extLst>
        </c:ser>
        <c:dLbls>
          <c:showLegendKey val="0"/>
          <c:showVal val="0"/>
          <c:showCatName val="0"/>
          <c:showSerName val="0"/>
          <c:showPercent val="0"/>
          <c:showBubbleSize val="0"/>
        </c:dLbls>
        <c:gapWidth val="80"/>
        <c:axId val="1086757631"/>
        <c:axId val="1086754271"/>
      </c:barChart>
      <c:catAx>
        <c:axId val="1086757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086754271"/>
        <c:crosses val="autoZero"/>
        <c:auto val="1"/>
        <c:lblAlgn val="ctr"/>
        <c:lblOffset val="100"/>
        <c:noMultiLvlLbl val="0"/>
      </c:catAx>
      <c:valAx>
        <c:axId val="1086754271"/>
        <c:scaling>
          <c:orientation val="minMax"/>
        </c:scaling>
        <c:delete val="0"/>
        <c:axPos val="b"/>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08675763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[Construction_Dashboard_and_Analysis.xlsx]CALCULATIONS!PivotTable7</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5.7095285857572717E-2"/>
              <c:y val="-0.13657410489423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2439719157472418"/>
              <c:y val="-1.95105864134626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w="19050">
            <a:solidFill>
              <a:schemeClr val="lt1"/>
            </a:solidFill>
          </a:ln>
          <a:effectLst/>
        </c:spPr>
        <c:dLbl>
          <c:idx val="0"/>
          <c:layout>
            <c:manualLayout>
              <c:x val="-7.5000000000000025E-2"/>
              <c:y val="0.123567047285263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CALCULATIONS!$C$66</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3-994C-456E-90B6-7AED9F4BE850}"/>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4-994C-456E-90B6-7AED9F4BE850}"/>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994C-456E-90B6-7AED9F4BE850}"/>
              </c:ext>
            </c:extLst>
          </c:dPt>
          <c:dLbls>
            <c:dLbl>
              <c:idx val="0"/>
              <c:layout>
                <c:manualLayout>
                  <c:x val="5.7095285857572717E-2"/>
                  <c:y val="-0.13657410489423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4C-456E-90B6-7AED9F4BE850}"/>
                </c:ext>
              </c:extLst>
            </c:dLbl>
            <c:dLbl>
              <c:idx val="1"/>
              <c:layout>
                <c:manualLayout>
                  <c:x val="0.12439719157472418"/>
                  <c:y val="-1.95105864134626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94C-456E-90B6-7AED9F4BE850}"/>
                </c:ext>
              </c:extLst>
            </c:dLbl>
            <c:dLbl>
              <c:idx val="2"/>
              <c:layout>
                <c:manualLayout>
                  <c:x val="-7.5000000000000025E-2"/>
                  <c:y val="0.123567047285263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94C-456E-90B6-7AED9F4BE85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CALCULATIONS!$B$67:$B$70</c:f>
              <c:strCache>
                <c:ptCount val="3"/>
                <c:pt idx="0">
                  <c:v>High Risk</c:v>
                </c:pt>
                <c:pt idx="1">
                  <c:v>Low Risk</c:v>
                </c:pt>
                <c:pt idx="2">
                  <c:v>Moderate Risk</c:v>
                </c:pt>
              </c:strCache>
            </c:strRef>
          </c:cat>
          <c:val>
            <c:numRef>
              <c:f>CALCULATIONS!$C$67:$C$70</c:f>
              <c:numCache>
                <c:formatCode>0.00%</c:formatCode>
                <c:ptCount val="3"/>
                <c:pt idx="0">
                  <c:v>0.12244897959183673</c:v>
                </c:pt>
                <c:pt idx="1">
                  <c:v>0.14285714285714285</c:v>
                </c:pt>
                <c:pt idx="2">
                  <c:v>0.73469387755102045</c:v>
                </c:pt>
              </c:numCache>
            </c:numRef>
          </c:val>
          <c:extLst>
            <c:ext xmlns:c16="http://schemas.microsoft.com/office/drawing/2014/chart" uri="{C3380CC4-5D6E-409C-BE32-E72D297353CC}">
              <c16:uniqueId val="{00000000-994C-456E-90B6-7AED9F4BE850}"/>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9145341207349096"/>
          <c:y val="0.56300178309348792"/>
          <c:w val="0.19187992125984249"/>
          <c:h val="0.40728579578100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[Construction_Dashboard_and_Analysis.xlsx]CALCULATIONS!PivotTable8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CALCULATIONS!$C$82</c:f>
              <c:strCache>
                <c:ptCount val="1"/>
                <c:pt idx="0">
                  <c:v>Total</c:v>
                </c:pt>
              </c:strCache>
            </c:strRef>
          </c:tx>
          <c:spPr>
            <a:solidFill>
              <a:schemeClr val="accent1"/>
            </a:solidFill>
            <a:ln>
              <a:noFill/>
            </a:ln>
            <a:effectLst/>
          </c:spPr>
          <c:invertIfNegative val="0"/>
          <c:cat>
            <c:strRef>
              <c:f>CALCULATIONS!$B$83:$B$101</c:f>
              <c:strCache>
                <c:ptCount val="18"/>
                <c:pt idx="0">
                  <c:v>Abuja</c:v>
                </c:pt>
                <c:pt idx="1">
                  <c:v>Adverse weather</c:v>
                </c:pt>
                <c:pt idx="2">
                  <c:v>AECOM Nigeria</c:v>
                </c:pt>
                <c:pt idx="3">
                  <c:v>Bridge</c:v>
                </c:pt>
                <c:pt idx="4">
                  <c:v>CCECC Consult</c:v>
                </c:pt>
                <c:pt idx="5">
                  <c:v>Community protest</c:v>
                </c:pt>
                <c:pt idx="6">
                  <c:v>Culvert</c:v>
                </c:pt>
                <c:pt idx="7">
                  <c:v>Delta</c:v>
                </c:pt>
                <c:pt idx="8">
                  <c:v>Design changes</c:v>
                </c:pt>
                <c:pt idx="9">
                  <c:v>Drainage System</c:v>
                </c:pt>
                <c:pt idx="10">
                  <c:v>Enugu</c:v>
                </c:pt>
                <c:pt idx="11">
                  <c:v>Equipment breakdown</c:v>
                </c:pt>
                <c:pt idx="12">
                  <c:v>Erosion Control</c:v>
                </c:pt>
                <c:pt idx="13">
                  <c:v>Kano</c:v>
                </c:pt>
                <c:pt idx="14">
                  <c:v>Labour dispute</c:v>
                </c:pt>
                <c:pt idx="15">
                  <c:v>Rivers</c:v>
                </c:pt>
                <c:pt idx="16">
                  <c:v>School Block</c:v>
                </c:pt>
                <c:pt idx="17">
                  <c:v>Scott Wilson</c:v>
                </c:pt>
              </c:strCache>
            </c:strRef>
          </c:cat>
          <c:val>
            <c:numRef>
              <c:f>CALCULATIONS!$C$83:$C$101</c:f>
              <c:numCache>
                <c:formatCode>General</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Cache>
            </c:numRef>
          </c:val>
          <c:extLst>
            <c:ext xmlns:c16="http://schemas.microsoft.com/office/drawing/2014/chart" uri="{C3380CC4-5D6E-409C-BE32-E72D297353CC}">
              <c16:uniqueId val="{00000000-BF59-4CB7-8BC5-1607570BCDA4}"/>
            </c:ext>
          </c:extLst>
        </c:ser>
        <c:dLbls>
          <c:showLegendKey val="0"/>
          <c:showVal val="0"/>
          <c:showCatName val="0"/>
          <c:showSerName val="0"/>
          <c:showPercent val="0"/>
          <c:showBubbleSize val="0"/>
        </c:dLbls>
        <c:gapWidth val="100"/>
        <c:overlap val="-27"/>
        <c:axId val="1867551455"/>
        <c:axId val="1990607711"/>
      </c:barChart>
      <c:catAx>
        <c:axId val="186755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0607711"/>
        <c:crosses val="autoZero"/>
        <c:auto val="1"/>
        <c:lblAlgn val="ctr"/>
        <c:lblOffset val="100"/>
        <c:noMultiLvlLbl val="0"/>
      </c:catAx>
      <c:valAx>
        <c:axId val="1990607711"/>
        <c:scaling>
          <c:orientation val="minMax"/>
          <c:max val="2"/>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67551455"/>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hyperlink" Target="https://www.preventionbtp.fr/actualites/magazine/entreprise/lean-et-bim-elite-constructions-une-tpe-dans-la-cour-des-grands_RQCdps7bbw5vPtAUpwpMff"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546099</xdr:colOff>
      <xdr:row>0</xdr:row>
      <xdr:rowOff>47038</xdr:rowOff>
    </xdr:from>
    <xdr:to>
      <xdr:col>17</xdr:col>
      <xdr:colOff>556605</xdr:colOff>
      <xdr:row>4</xdr:row>
      <xdr:rowOff>38101</xdr:rowOff>
    </xdr:to>
    <xdr:sp macro="" textlink="">
      <xdr:nvSpPr>
        <xdr:cNvPr id="3" name="TextBox 2">
          <a:extLst>
            <a:ext uri="{FF2B5EF4-FFF2-40B4-BE49-F238E27FC236}">
              <a16:creationId xmlns:a16="http://schemas.microsoft.com/office/drawing/2014/main" id="{63A315BE-FFBE-E97A-CDD7-45DFB658A934}"/>
            </a:ext>
          </a:extLst>
        </xdr:cNvPr>
        <xdr:cNvSpPr txBox="1"/>
      </xdr:nvSpPr>
      <xdr:spPr>
        <a:xfrm>
          <a:off x="1769062" y="47038"/>
          <a:ext cx="9182728" cy="712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  </a:t>
          </a:r>
          <a:r>
            <a:rPr lang="en-US" sz="2400"/>
            <a:t> </a:t>
          </a:r>
          <a:r>
            <a:rPr lang="en-US" sz="2800" b="1">
              <a:solidFill>
                <a:schemeClr val="bg1"/>
              </a:solidFill>
            </a:rPr>
            <a:t>CONSTRUCTION PMO PERFORMANCE DASHBOARD</a:t>
          </a:r>
          <a:endParaRPr lang="en-US" sz="2400" b="1">
            <a:solidFill>
              <a:schemeClr val="bg1"/>
            </a:solidFill>
          </a:endParaRPr>
        </a:p>
      </xdr:txBody>
    </xdr:sp>
    <xdr:clientData/>
  </xdr:twoCellAnchor>
  <xdr:twoCellAnchor>
    <xdr:from>
      <xdr:col>0</xdr:col>
      <xdr:colOff>446853</xdr:colOff>
      <xdr:row>4</xdr:row>
      <xdr:rowOff>83178</xdr:rowOff>
    </xdr:from>
    <xdr:to>
      <xdr:col>4</xdr:col>
      <xdr:colOff>125433</xdr:colOff>
      <xdr:row>10</xdr:row>
      <xdr:rowOff>104424</xdr:rowOff>
    </xdr:to>
    <xdr:sp macro="" textlink="">
      <xdr:nvSpPr>
        <xdr:cNvPr id="8" name="Rectangle: Rounded Corners 7">
          <a:extLst>
            <a:ext uri="{FF2B5EF4-FFF2-40B4-BE49-F238E27FC236}">
              <a16:creationId xmlns:a16="http://schemas.microsoft.com/office/drawing/2014/main" id="{F6F6A05D-018B-BF90-F227-C27933F1BFB3}"/>
            </a:ext>
          </a:extLst>
        </xdr:cNvPr>
        <xdr:cNvSpPr/>
      </xdr:nvSpPr>
      <xdr:spPr>
        <a:xfrm>
          <a:off x="446853" y="804413"/>
          <a:ext cx="2124506" cy="1103097"/>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318834</xdr:colOff>
      <xdr:row>11</xdr:row>
      <xdr:rowOff>157260</xdr:rowOff>
    </xdr:from>
    <xdr:to>
      <xdr:col>19</xdr:col>
      <xdr:colOff>384136</xdr:colOff>
      <xdr:row>26</xdr:row>
      <xdr:rowOff>148950</xdr:rowOff>
    </xdr:to>
    <xdr:graphicFrame macro="">
      <xdr:nvGraphicFramePr>
        <xdr:cNvPr id="13" name="Chart 12">
          <a:extLst>
            <a:ext uri="{FF2B5EF4-FFF2-40B4-BE49-F238E27FC236}">
              <a16:creationId xmlns:a16="http://schemas.microsoft.com/office/drawing/2014/main" id="{3F08740D-1F5D-4D14-8E25-3C9A56383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11</xdr:row>
      <xdr:rowOff>172939</xdr:rowOff>
    </xdr:from>
    <xdr:to>
      <xdr:col>6</xdr:col>
      <xdr:colOff>533086</xdr:colOff>
      <xdr:row>22</xdr:row>
      <xdr:rowOff>134839</xdr:rowOff>
    </xdr:to>
    <xdr:graphicFrame macro="">
      <xdr:nvGraphicFramePr>
        <xdr:cNvPr id="14" name="Chart 13">
          <a:extLst>
            <a:ext uri="{FF2B5EF4-FFF2-40B4-BE49-F238E27FC236}">
              <a16:creationId xmlns:a16="http://schemas.microsoft.com/office/drawing/2014/main" id="{E8028BC8-258D-49F5-A9F8-F5B4AB023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547032</xdr:colOff>
      <xdr:row>11</xdr:row>
      <xdr:rowOff>172938</xdr:rowOff>
    </xdr:from>
    <xdr:to>
      <xdr:col>12</xdr:col>
      <xdr:colOff>305740</xdr:colOff>
      <xdr:row>35</xdr:row>
      <xdr:rowOff>94074</xdr:rowOff>
    </xdr:to>
    <xdr:graphicFrame macro="">
      <xdr:nvGraphicFramePr>
        <xdr:cNvPr id="15" name="Chart 14">
          <a:extLst>
            <a:ext uri="{FF2B5EF4-FFF2-40B4-BE49-F238E27FC236}">
              <a16:creationId xmlns:a16="http://schemas.microsoft.com/office/drawing/2014/main" id="{6A8144D8-F44C-42F3-BFDD-9954FA657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15679</xdr:colOff>
      <xdr:row>24</xdr:row>
      <xdr:rowOff>62717</xdr:rowOff>
    </xdr:from>
    <xdr:to>
      <xdr:col>6</xdr:col>
      <xdr:colOff>533086</xdr:colOff>
      <xdr:row>35</xdr:row>
      <xdr:rowOff>109754</xdr:rowOff>
    </xdr:to>
    <xdr:graphicFrame macro="">
      <xdr:nvGraphicFramePr>
        <xdr:cNvPr id="16" name="Chart 15">
          <a:extLst>
            <a:ext uri="{FF2B5EF4-FFF2-40B4-BE49-F238E27FC236}">
              <a16:creationId xmlns:a16="http://schemas.microsoft.com/office/drawing/2014/main" id="{64578180-29F9-43CF-9989-46099D27B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326673</xdr:colOff>
      <xdr:row>28</xdr:row>
      <xdr:rowOff>15680</xdr:rowOff>
    </xdr:from>
    <xdr:to>
      <xdr:col>19</xdr:col>
      <xdr:colOff>407654</xdr:colOff>
      <xdr:row>35</xdr:row>
      <xdr:rowOff>78396</xdr:rowOff>
    </xdr:to>
    <xdr:graphicFrame macro="">
      <xdr:nvGraphicFramePr>
        <xdr:cNvPr id="17" name="Chart 16">
          <a:extLst>
            <a:ext uri="{FF2B5EF4-FFF2-40B4-BE49-F238E27FC236}">
              <a16:creationId xmlns:a16="http://schemas.microsoft.com/office/drawing/2014/main" id="{9230B3A8-6D65-480A-A618-45227AC7B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149788</xdr:colOff>
      <xdr:row>4</xdr:row>
      <xdr:rowOff>83178</xdr:rowOff>
    </xdr:from>
    <xdr:to>
      <xdr:col>8</xdr:col>
      <xdr:colOff>439849</xdr:colOff>
      <xdr:row>10</xdr:row>
      <xdr:rowOff>104424</xdr:rowOff>
    </xdr:to>
    <xdr:sp macro="" textlink="">
      <xdr:nvSpPr>
        <xdr:cNvPr id="18" name="Rectangle: Rounded Corners 17">
          <a:extLst>
            <a:ext uri="{FF2B5EF4-FFF2-40B4-BE49-F238E27FC236}">
              <a16:creationId xmlns:a16="http://schemas.microsoft.com/office/drawing/2014/main" id="{FE0917F0-C05C-499C-8DC9-F2D2B3262B2A}"/>
            </a:ext>
          </a:extLst>
        </xdr:cNvPr>
        <xdr:cNvSpPr/>
      </xdr:nvSpPr>
      <xdr:spPr>
        <a:xfrm>
          <a:off x="3207195" y="804413"/>
          <a:ext cx="2124506" cy="1103097"/>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290062</xdr:colOff>
      <xdr:row>4</xdr:row>
      <xdr:rowOff>83178</xdr:rowOff>
    </xdr:from>
    <xdr:to>
      <xdr:col>13</xdr:col>
      <xdr:colOff>297901</xdr:colOff>
      <xdr:row>10</xdr:row>
      <xdr:rowOff>104424</xdr:rowOff>
    </xdr:to>
    <xdr:sp macro="" textlink="">
      <xdr:nvSpPr>
        <xdr:cNvPr id="19" name="Rectangle: Rounded Corners 18">
          <a:extLst>
            <a:ext uri="{FF2B5EF4-FFF2-40B4-BE49-F238E27FC236}">
              <a16:creationId xmlns:a16="http://schemas.microsoft.com/office/drawing/2014/main" id="{4BD70A38-36A4-4226-8EA4-897B01A54718}"/>
            </a:ext>
          </a:extLst>
        </xdr:cNvPr>
        <xdr:cNvSpPr/>
      </xdr:nvSpPr>
      <xdr:spPr>
        <a:xfrm>
          <a:off x="5793395" y="804413"/>
          <a:ext cx="2453765" cy="1103097"/>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167139</xdr:colOff>
      <xdr:row>4</xdr:row>
      <xdr:rowOff>83178</xdr:rowOff>
    </xdr:from>
    <xdr:to>
      <xdr:col>17</xdr:col>
      <xdr:colOff>457201</xdr:colOff>
      <xdr:row>10</xdr:row>
      <xdr:rowOff>104424</xdr:rowOff>
    </xdr:to>
    <xdr:sp macro="" textlink="">
      <xdr:nvSpPr>
        <xdr:cNvPr id="20" name="Rectangle: Rounded Corners 19">
          <a:extLst>
            <a:ext uri="{FF2B5EF4-FFF2-40B4-BE49-F238E27FC236}">
              <a16:creationId xmlns:a16="http://schemas.microsoft.com/office/drawing/2014/main" id="{07E99E5A-14C3-47C5-90EB-2516E2D3AD41}"/>
            </a:ext>
          </a:extLst>
        </xdr:cNvPr>
        <xdr:cNvSpPr/>
      </xdr:nvSpPr>
      <xdr:spPr>
        <a:xfrm>
          <a:off x="8727880" y="804413"/>
          <a:ext cx="2124506" cy="110309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23</xdr:row>
      <xdr:rowOff>15679</xdr:rowOff>
    </xdr:from>
    <xdr:to>
      <xdr:col>6</xdr:col>
      <xdr:colOff>540925</xdr:colOff>
      <xdr:row>24</xdr:row>
      <xdr:rowOff>62716</xdr:rowOff>
    </xdr:to>
    <xdr:sp macro="" textlink="">
      <xdr:nvSpPr>
        <xdr:cNvPr id="21" name="TextBox 20">
          <a:extLst>
            <a:ext uri="{FF2B5EF4-FFF2-40B4-BE49-F238E27FC236}">
              <a16:creationId xmlns:a16="http://schemas.microsoft.com/office/drawing/2014/main" id="{0794EDA6-3599-A24E-AC29-B1690550EB15}"/>
            </a:ext>
          </a:extLst>
        </xdr:cNvPr>
        <xdr:cNvSpPr txBox="1"/>
      </xdr:nvSpPr>
      <xdr:spPr>
        <a:xfrm>
          <a:off x="0" y="4162778"/>
          <a:ext cx="4209814" cy="227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cap="none" spc="0">
              <a:ln w="6600">
                <a:solidFill>
                  <a:schemeClr val="accent2"/>
                </a:solidFill>
                <a:prstDash val="solid"/>
              </a:ln>
              <a:solidFill>
                <a:srgbClr val="FFFFFF"/>
              </a:solidFill>
              <a:effectLst>
                <a:outerShdw dist="38100" dir="2700000" algn="tl" rotWithShape="0">
                  <a:schemeClr val="accent2"/>
                </a:outerShdw>
              </a:effectLst>
              <a:latin typeface="Arial" panose="020B0604020202020204" pitchFamily="34" charset="0"/>
              <a:cs typeface="Arial" panose="020B0604020202020204" pitchFamily="34" charset="0"/>
            </a:rPr>
            <a:t>RISK DISTRIBUTION</a:t>
          </a:r>
        </a:p>
      </xdr:txBody>
    </xdr:sp>
    <xdr:clientData/>
  </xdr:twoCellAnchor>
  <xdr:twoCellAnchor>
    <xdr:from>
      <xdr:col>6</xdr:col>
      <xdr:colOff>172469</xdr:colOff>
      <xdr:row>10</xdr:row>
      <xdr:rowOff>101913</xdr:rowOff>
    </xdr:from>
    <xdr:to>
      <xdr:col>13</xdr:col>
      <xdr:colOff>101913</xdr:colOff>
      <xdr:row>11</xdr:row>
      <xdr:rowOff>148949</xdr:rowOff>
    </xdr:to>
    <xdr:sp macro="" textlink="">
      <xdr:nvSpPr>
        <xdr:cNvPr id="22" name="TextBox 21">
          <a:extLst>
            <a:ext uri="{FF2B5EF4-FFF2-40B4-BE49-F238E27FC236}">
              <a16:creationId xmlns:a16="http://schemas.microsoft.com/office/drawing/2014/main" id="{0AE40C26-8314-4BDD-8B8E-B30BDCF10C62}"/>
            </a:ext>
          </a:extLst>
        </xdr:cNvPr>
        <xdr:cNvSpPr txBox="1"/>
      </xdr:nvSpPr>
      <xdr:spPr>
        <a:xfrm>
          <a:off x="3841358" y="1904999"/>
          <a:ext cx="4209814" cy="227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cap="none" spc="0">
              <a:ln w="6600">
                <a:solidFill>
                  <a:schemeClr val="accent2"/>
                </a:solidFill>
                <a:prstDash val="solid"/>
              </a:ln>
              <a:solidFill>
                <a:srgbClr val="FFFFFF"/>
              </a:solidFill>
              <a:effectLst>
                <a:outerShdw dist="38100" dir="2700000" algn="tl" rotWithShape="0">
                  <a:schemeClr val="accent2"/>
                </a:outerShdw>
              </a:effectLst>
              <a:latin typeface="Arial" panose="020B0604020202020204" pitchFamily="34" charset="0"/>
              <a:cs typeface="Arial" panose="020B0604020202020204" pitchFamily="34" charset="0"/>
            </a:rPr>
            <a:t>CONTRACTOR PERFORMANCE</a:t>
          </a:r>
        </a:p>
      </xdr:txBody>
    </xdr:sp>
    <xdr:clientData/>
  </xdr:twoCellAnchor>
  <xdr:twoCellAnchor>
    <xdr:from>
      <xdr:col>12</xdr:col>
      <xdr:colOff>89684</xdr:colOff>
      <xdr:row>26</xdr:row>
      <xdr:rowOff>144560</xdr:rowOff>
    </xdr:from>
    <xdr:to>
      <xdr:col>19</xdr:col>
      <xdr:colOff>19128</xdr:colOff>
      <xdr:row>27</xdr:row>
      <xdr:rowOff>164913</xdr:rowOff>
    </xdr:to>
    <xdr:sp macro="" textlink="">
      <xdr:nvSpPr>
        <xdr:cNvPr id="23" name="TextBox 22">
          <a:extLst>
            <a:ext uri="{FF2B5EF4-FFF2-40B4-BE49-F238E27FC236}">
              <a16:creationId xmlns:a16="http://schemas.microsoft.com/office/drawing/2014/main" id="{C5282E4E-9355-4586-9D57-C3F9E35EBC9A}"/>
            </a:ext>
          </a:extLst>
        </xdr:cNvPr>
        <xdr:cNvSpPr txBox="1"/>
      </xdr:nvSpPr>
      <xdr:spPr>
        <a:xfrm>
          <a:off x="7427462" y="4832585"/>
          <a:ext cx="4209814" cy="200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cap="none" spc="0">
              <a:ln w="6600">
                <a:solidFill>
                  <a:schemeClr val="accent2"/>
                </a:solidFill>
                <a:prstDash val="solid"/>
              </a:ln>
              <a:solidFill>
                <a:srgbClr val="FFFFFF"/>
              </a:solidFill>
              <a:effectLst>
                <a:outerShdw dist="38100" dir="2700000" algn="tl" rotWithShape="0">
                  <a:schemeClr val="accent2"/>
                </a:outerShdw>
              </a:effectLst>
              <a:latin typeface="Arial" panose="020B0604020202020204" pitchFamily="34" charset="0"/>
              <a:cs typeface="Arial" panose="020B0604020202020204" pitchFamily="34" charset="0"/>
            </a:rPr>
            <a:t>IMPROVEMENT AREAS</a:t>
          </a:r>
        </a:p>
      </xdr:txBody>
    </xdr:sp>
    <xdr:clientData/>
  </xdr:twoCellAnchor>
  <xdr:twoCellAnchor>
    <xdr:from>
      <xdr:col>12</xdr:col>
      <xdr:colOff>155849</xdr:colOff>
      <xdr:row>10</xdr:row>
      <xdr:rowOff>108813</xdr:rowOff>
    </xdr:from>
    <xdr:to>
      <xdr:col>19</xdr:col>
      <xdr:colOff>85293</xdr:colOff>
      <xdr:row>11</xdr:row>
      <xdr:rowOff>155849</xdr:rowOff>
    </xdr:to>
    <xdr:sp macro="" textlink="">
      <xdr:nvSpPr>
        <xdr:cNvPr id="24" name="TextBox 23">
          <a:extLst>
            <a:ext uri="{FF2B5EF4-FFF2-40B4-BE49-F238E27FC236}">
              <a16:creationId xmlns:a16="http://schemas.microsoft.com/office/drawing/2014/main" id="{56709F75-5848-4F69-A658-B5150899D1B9}"/>
            </a:ext>
          </a:extLst>
        </xdr:cNvPr>
        <xdr:cNvSpPr txBox="1"/>
      </xdr:nvSpPr>
      <xdr:spPr>
        <a:xfrm>
          <a:off x="7493627" y="1911899"/>
          <a:ext cx="4209814" cy="227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cap="none" spc="0">
              <a:ln w="6600">
                <a:solidFill>
                  <a:schemeClr val="accent2"/>
                </a:solidFill>
                <a:prstDash val="solid"/>
              </a:ln>
              <a:solidFill>
                <a:srgbClr val="FFFFFF"/>
              </a:solidFill>
              <a:effectLst>
                <a:outerShdw dist="38100" dir="2700000" algn="tl" rotWithShape="0">
                  <a:schemeClr val="accent2"/>
                </a:outerShdw>
              </a:effectLst>
              <a:latin typeface="Arial" panose="020B0604020202020204" pitchFamily="34" charset="0"/>
              <a:cs typeface="Arial" panose="020B0604020202020204" pitchFamily="34" charset="0"/>
            </a:rPr>
            <a:t>TOP 10 COST</a:t>
          </a:r>
          <a:r>
            <a:rPr lang="en-US" sz="1400" b="1" cap="none" spc="0" baseline="0">
              <a:ln w="6600">
                <a:solidFill>
                  <a:schemeClr val="accent2"/>
                </a:solidFill>
                <a:prstDash val="solid"/>
              </a:ln>
              <a:solidFill>
                <a:srgbClr val="FFFFFF"/>
              </a:solidFill>
              <a:effectLst>
                <a:outerShdw dist="38100" dir="2700000" algn="tl" rotWithShape="0">
                  <a:schemeClr val="accent2"/>
                </a:outerShdw>
              </a:effectLst>
              <a:latin typeface="Arial" panose="020B0604020202020204" pitchFamily="34" charset="0"/>
              <a:cs typeface="Arial" panose="020B0604020202020204" pitchFamily="34" charset="0"/>
            </a:rPr>
            <a:t> OVERRUNS</a:t>
          </a:r>
          <a:endParaRPr lang="en-US" sz="1400" b="1" cap="none" spc="0">
            <a:ln w="6600">
              <a:solidFill>
                <a:schemeClr val="accent2"/>
              </a:solidFill>
              <a:prstDash val="solid"/>
            </a:ln>
            <a:solidFill>
              <a:srgbClr val="FFFFFF"/>
            </a:solidFill>
            <a:effectLst>
              <a:outerShdw dist="38100" dir="2700000" algn="tl" rotWithShape="0">
                <a:schemeClr val="accent2"/>
              </a:outerShdw>
            </a:effectLst>
            <a:latin typeface="Arial" panose="020B0604020202020204" pitchFamily="34" charset="0"/>
            <a:cs typeface="Arial" panose="020B0604020202020204" pitchFamily="34" charset="0"/>
          </a:endParaRPr>
        </a:p>
      </xdr:txBody>
    </xdr:sp>
    <xdr:clientData/>
  </xdr:twoCellAnchor>
  <xdr:twoCellAnchor>
    <xdr:from>
      <xdr:col>0</xdr:col>
      <xdr:colOff>0</xdr:colOff>
      <xdr:row>10</xdr:row>
      <xdr:rowOff>104422</xdr:rowOff>
    </xdr:from>
    <xdr:to>
      <xdr:col>6</xdr:col>
      <xdr:colOff>540925</xdr:colOff>
      <xdr:row>11</xdr:row>
      <xdr:rowOff>151458</xdr:rowOff>
    </xdr:to>
    <xdr:sp macro="" textlink="">
      <xdr:nvSpPr>
        <xdr:cNvPr id="25" name="TextBox 24">
          <a:extLst>
            <a:ext uri="{FF2B5EF4-FFF2-40B4-BE49-F238E27FC236}">
              <a16:creationId xmlns:a16="http://schemas.microsoft.com/office/drawing/2014/main" id="{AE1B57CD-0FF3-4D8B-A1AC-7EE184BA2425}"/>
            </a:ext>
          </a:extLst>
        </xdr:cNvPr>
        <xdr:cNvSpPr txBox="1"/>
      </xdr:nvSpPr>
      <xdr:spPr>
        <a:xfrm>
          <a:off x="0" y="1907508"/>
          <a:ext cx="4209814" cy="227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cap="none" spc="0">
              <a:ln w="6600">
                <a:solidFill>
                  <a:schemeClr val="accent2"/>
                </a:solidFill>
                <a:prstDash val="solid"/>
              </a:ln>
              <a:solidFill>
                <a:srgbClr val="FFFFFF"/>
              </a:solidFill>
              <a:effectLst>
                <a:outerShdw dist="38100" dir="2700000" algn="tl" rotWithShape="0">
                  <a:schemeClr val="accent2"/>
                </a:outerShdw>
              </a:effectLst>
              <a:latin typeface="Arial" panose="020B0604020202020204" pitchFamily="34" charset="0"/>
              <a:cs typeface="Arial" panose="020B0604020202020204" pitchFamily="34" charset="0"/>
            </a:rPr>
            <a:t>PHASE RISK BREAKDOWN (OVERRUNS)</a:t>
          </a:r>
        </a:p>
      </xdr:txBody>
    </xdr:sp>
    <xdr:clientData/>
  </xdr:twoCellAnchor>
  <xdr:twoCellAnchor editAs="oneCell">
    <xdr:from>
      <xdr:col>19</xdr:col>
      <xdr:colOff>391976</xdr:colOff>
      <xdr:row>21</xdr:row>
      <xdr:rowOff>15678</xdr:rowOff>
    </xdr:from>
    <xdr:to>
      <xdr:col>24</xdr:col>
      <xdr:colOff>141112</xdr:colOff>
      <xdr:row>35</xdr:row>
      <xdr:rowOff>62716</xdr:rowOff>
    </xdr:to>
    <xdr:pic>
      <xdr:nvPicPr>
        <xdr:cNvPr id="26" name="Picture 25">
          <a:extLst>
            <a:ext uri="{FF2B5EF4-FFF2-40B4-BE49-F238E27FC236}">
              <a16:creationId xmlns:a16="http://schemas.microsoft.com/office/drawing/2014/main" id="{4E329364-C3F9-4379-8144-277A8CB135F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12010124" y="3802159"/>
          <a:ext cx="2806544" cy="2571359"/>
        </a:xfrm>
        <a:prstGeom prst="rect">
          <a:avLst/>
        </a:prstGeom>
      </xdr:spPr>
    </xdr:pic>
    <xdr:clientData/>
  </xdr:twoCellAnchor>
  <xdr:twoCellAnchor>
    <xdr:from>
      <xdr:col>0</xdr:col>
      <xdr:colOff>305741</xdr:colOff>
      <xdr:row>4</xdr:row>
      <xdr:rowOff>86234</xdr:rowOff>
    </xdr:from>
    <xdr:to>
      <xdr:col>4</xdr:col>
      <xdr:colOff>282222</xdr:colOff>
      <xdr:row>6</xdr:row>
      <xdr:rowOff>133270</xdr:rowOff>
    </xdr:to>
    <xdr:sp macro="" textlink="">
      <xdr:nvSpPr>
        <xdr:cNvPr id="27" name="TextBox 26">
          <a:extLst>
            <a:ext uri="{FF2B5EF4-FFF2-40B4-BE49-F238E27FC236}">
              <a16:creationId xmlns:a16="http://schemas.microsoft.com/office/drawing/2014/main" id="{90DA57F8-BB9E-BEB0-CCEC-1315B497D1EB}"/>
            </a:ext>
          </a:extLst>
        </xdr:cNvPr>
        <xdr:cNvSpPr txBox="1"/>
      </xdr:nvSpPr>
      <xdr:spPr>
        <a:xfrm>
          <a:off x="305741" y="807469"/>
          <a:ext cx="2422407" cy="40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Black" panose="020B0A04020102020204" pitchFamily="34" charset="0"/>
              <a:cs typeface="Arial" panose="020B0604020202020204" pitchFamily="34" charset="0"/>
            </a:rPr>
            <a:t>TOTAL</a:t>
          </a:r>
          <a:r>
            <a:rPr lang="en-US" sz="1200" b="1" baseline="0">
              <a:latin typeface="Arial Black" panose="020B0A04020102020204" pitchFamily="34" charset="0"/>
              <a:cs typeface="Arial" panose="020B0604020202020204" pitchFamily="34" charset="0"/>
            </a:rPr>
            <a:t> PROJECTS</a:t>
          </a:r>
          <a:endParaRPr lang="en-US" sz="1200" b="1">
            <a:latin typeface="Arial Black" panose="020B0A04020102020204" pitchFamily="34" charset="0"/>
            <a:cs typeface="Arial" panose="020B0604020202020204" pitchFamily="34" charset="0"/>
          </a:endParaRPr>
        </a:p>
      </xdr:txBody>
    </xdr:sp>
    <xdr:clientData/>
  </xdr:twoCellAnchor>
  <xdr:twoCellAnchor>
    <xdr:from>
      <xdr:col>1</xdr:col>
      <xdr:colOff>329257</xdr:colOff>
      <xdr:row>6</xdr:row>
      <xdr:rowOff>125432</xdr:rowOff>
    </xdr:from>
    <xdr:to>
      <xdr:col>3</xdr:col>
      <xdr:colOff>250863</xdr:colOff>
      <xdr:row>10</xdr:row>
      <xdr:rowOff>7840</xdr:rowOff>
    </xdr:to>
    <xdr:sp macro="" textlink="">
      <xdr:nvSpPr>
        <xdr:cNvPr id="28" name="TextBox 27">
          <a:extLst>
            <a:ext uri="{FF2B5EF4-FFF2-40B4-BE49-F238E27FC236}">
              <a16:creationId xmlns:a16="http://schemas.microsoft.com/office/drawing/2014/main" id="{A1AA4241-B77D-0B9A-082B-F70921DF186F}"/>
            </a:ext>
          </a:extLst>
        </xdr:cNvPr>
        <xdr:cNvSpPr txBox="1"/>
      </xdr:nvSpPr>
      <xdr:spPr>
        <a:xfrm>
          <a:off x="940738" y="1207284"/>
          <a:ext cx="1144569" cy="603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rial Black" panose="020B0A04020102020204" pitchFamily="34" charset="0"/>
            </a:rPr>
            <a:t>50</a:t>
          </a:r>
        </a:p>
      </xdr:txBody>
    </xdr:sp>
    <xdr:clientData/>
  </xdr:twoCellAnchor>
  <xdr:twoCellAnchor>
    <xdr:from>
      <xdr:col>5</xdr:col>
      <xdr:colOff>1</xdr:colOff>
      <xdr:row>4</xdr:row>
      <xdr:rowOff>86235</xdr:rowOff>
    </xdr:from>
    <xdr:to>
      <xdr:col>8</xdr:col>
      <xdr:colOff>587963</xdr:colOff>
      <xdr:row>6</xdr:row>
      <xdr:rowOff>133271</xdr:rowOff>
    </xdr:to>
    <xdr:sp macro="" textlink="">
      <xdr:nvSpPr>
        <xdr:cNvPr id="29" name="TextBox 28">
          <a:extLst>
            <a:ext uri="{FF2B5EF4-FFF2-40B4-BE49-F238E27FC236}">
              <a16:creationId xmlns:a16="http://schemas.microsoft.com/office/drawing/2014/main" id="{C84E928F-7AAF-472C-916E-F1EE25E6DBDA}"/>
            </a:ext>
          </a:extLst>
        </xdr:cNvPr>
        <xdr:cNvSpPr txBox="1"/>
      </xdr:nvSpPr>
      <xdr:spPr>
        <a:xfrm>
          <a:off x="3057408" y="807470"/>
          <a:ext cx="2422407" cy="40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Black" panose="020B0A04020102020204" pitchFamily="34" charset="0"/>
              <a:cs typeface="Arial" panose="020B0604020202020204" pitchFamily="34" charset="0"/>
            </a:rPr>
            <a:t>TOTAL</a:t>
          </a:r>
          <a:r>
            <a:rPr lang="en-US" sz="1200" b="1" baseline="0">
              <a:latin typeface="Arial Black" panose="020B0A04020102020204" pitchFamily="34" charset="0"/>
              <a:cs typeface="Arial" panose="020B0604020202020204" pitchFamily="34" charset="0"/>
            </a:rPr>
            <a:t> COST OVERRUN</a:t>
          </a:r>
          <a:endParaRPr lang="en-US" sz="1200" b="1">
            <a:latin typeface="Arial Black" panose="020B0A04020102020204" pitchFamily="34" charset="0"/>
            <a:cs typeface="Arial" panose="020B0604020202020204" pitchFamily="34" charset="0"/>
          </a:endParaRPr>
        </a:p>
      </xdr:txBody>
    </xdr:sp>
    <xdr:clientData/>
  </xdr:twoCellAnchor>
  <xdr:twoCellAnchor>
    <xdr:from>
      <xdr:col>9</xdr:col>
      <xdr:colOff>258705</xdr:colOff>
      <xdr:row>4</xdr:row>
      <xdr:rowOff>74004</xdr:rowOff>
    </xdr:from>
    <xdr:to>
      <xdr:col>13</xdr:col>
      <xdr:colOff>399816</xdr:colOff>
      <xdr:row>6</xdr:row>
      <xdr:rowOff>121040</xdr:rowOff>
    </xdr:to>
    <xdr:sp macro="" textlink="">
      <xdr:nvSpPr>
        <xdr:cNvPr id="30" name="TextBox 29">
          <a:extLst>
            <a:ext uri="{FF2B5EF4-FFF2-40B4-BE49-F238E27FC236}">
              <a16:creationId xmlns:a16="http://schemas.microsoft.com/office/drawing/2014/main" id="{0E070A86-641C-41EA-9E0C-DD8174F3A8AE}"/>
            </a:ext>
          </a:extLst>
        </xdr:cNvPr>
        <xdr:cNvSpPr txBox="1"/>
      </xdr:nvSpPr>
      <xdr:spPr>
        <a:xfrm>
          <a:off x="5762038" y="795239"/>
          <a:ext cx="2587037" cy="40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Black" panose="020B0A04020102020204" pitchFamily="34" charset="0"/>
              <a:cs typeface="Arial" panose="020B0604020202020204" pitchFamily="34" charset="0"/>
            </a:rPr>
            <a:t>AVERAGE DELAY</a:t>
          </a:r>
          <a:r>
            <a:rPr lang="en-US" sz="1200" b="1" baseline="0">
              <a:latin typeface="Arial Black" panose="020B0A04020102020204" pitchFamily="34" charset="0"/>
              <a:cs typeface="Arial" panose="020B0604020202020204" pitchFamily="34" charset="0"/>
            </a:rPr>
            <a:t>_MONTHS</a:t>
          </a:r>
          <a:endParaRPr lang="en-US" sz="1400" b="1">
            <a:latin typeface="Arial Black" panose="020B0A04020102020204" pitchFamily="34" charset="0"/>
            <a:cs typeface="Arial" panose="020B0604020202020204" pitchFamily="34" charset="0"/>
          </a:endParaRPr>
        </a:p>
      </xdr:txBody>
    </xdr:sp>
    <xdr:clientData/>
  </xdr:twoCellAnchor>
  <xdr:twoCellAnchor>
    <xdr:from>
      <xdr:col>14</xdr:col>
      <xdr:colOff>22577</xdr:colOff>
      <xdr:row>4</xdr:row>
      <xdr:rowOff>77454</xdr:rowOff>
    </xdr:from>
    <xdr:to>
      <xdr:col>17</xdr:col>
      <xdr:colOff>610540</xdr:colOff>
      <xdr:row>6</xdr:row>
      <xdr:rowOff>124490</xdr:rowOff>
    </xdr:to>
    <xdr:sp macro="" textlink="">
      <xdr:nvSpPr>
        <xdr:cNvPr id="31" name="TextBox 30">
          <a:extLst>
            <a:ext uri="{FF2B5EF4-FFF2-40B4-BE49-F238E27FC236}">
              <a16:creationId xmlns:a16="http://schemas.microsoft.com/office/drawing/2014/main" id="{78990CB6-D1CE-487B-9BFC-34C9876E298F}"/>
            </a:ext>
          </a:extLst>
        </xdr:cNvPr>
        <xdr:cNvSpPr txBox="1"/>
      </xdr:nvSpPr>
      <xdr:spPr>
        <a:xfrm>
          <a:off x="8583318" y="798689"/>
          <a:ext cx="2422407" cy="40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Black" panose="020B0A04020102020204" pitchFamily="34" charset="0"/>
              <a:cs typeface="Arial" panose="020B0604020202020204" pitchFamily="34" charset="0"/>
            </a:rPr>
            <a:t>HIGH RISK PROJECTS</a:t>
          </a:r>
        </a:p>
      </xdr:txBody>
    </xdr:sp>
    <xdr:clientData/>
  </xdr:twoCellAnchor>
  <xdr:twoCellAnchor>
    <xdr:from>
      <xdr:col>14</xdr:col>
      <xdr:colOff>599249</xdr:colOff>
      <xdr:row>6</xdr:row>
      <xdr:rowOff>125432</xdr:rowOff>
    </xdr:from>
    <xdr:to>
      <xdr:col>16</xdr:col>
      <xdr:colOff>520855</xdr:colOff>
      <xdr:row>10</xdr:row>
      <xdr:rowOff>7840</xdr:rowOff>
    </xdr:to>
    <xdr:sp macro="" textlink="">
      <xdr:nvSpPr>
        <xdr:cNvPr id="32" name="TextBox 31">
          <a:extLst>
            <a:ext uri="{FF2B5EF4-FFF2-40B4-BE49-F238E27FC236}">
              <a16:creationId xmlns:a16="http://schemas.microsoft.com/office/drawing/2014/main" id="{A6A02E69-9F7B-46B7-AD1E-AA587C23AD3F}"/>
            </a:ext>
          </a:extLst>
        </xdr:cNvPr>
        <xdr:cNvSpPr txBox="1"/>
      </xdr:nvSpPr>
      <xdr:spPr>
        <a:xfrm>
          <a:off x="9159990" y="1207284"/>
          <a:ext cx="1144569" cy="603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rial Black" panose="020B0A04020102020204" pitchFamily="34" charset="0"/>
            </a:rPr>
            <a:t>6</a:t>
          </a:r>
        </a:p>
      </xdr:txBody>
    </xdr:sp>
    <xdr:clientData/>
  </xdr:twoCellAnchor>
  <xdr:twoCellAnchor>
    <xdr:from>
      <xdr:col>10</xdr:col>
      <xdr:colOff>296957</xdr:colOff>
      <xdr:row>6</xdr:row>
      <xdr:rowOff>125432</xdr:rowOff>
    </xdr:from>
    <xdr:to>
      <xdr:col>12</xdr:col>
      <xdr:colOff>218563</xdr:colOff>
      <xdr:row>10</xdr:row>
      <xdr:rowOff>7840</xdr:rowOff>
    </xdr:to>
    <xdr:sp macro="" textlink="">
      <xdr:nvSpPr>
        <xdr:cNvPr id="33" name="TextBox 32">
          <a:extLst>
            <a:ext uri="{FF2B5EF4-FFF2-40B4-BE49-F238E27FC236}">
              <a16:creationId xmlns:a16="http://schemas.microsoft.com/office/drawing/2014/main" id="{880C9461-E219-4B11-9560-55DED2714CDF}"/>
            </a:ext>
          </a:extLst>
        </xdr:cNvPr>
        <xdr:cNvSpPr txBox="1"/>
      </xdr:nvSpPr>
      <xdr:spPr>
        <a:xfrm>
          <a:off x="6411772" y="1207284"/>
          <a:ext cx="1144569" cy="603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rial Black" panose="020B0A04020102020204" pitchFamily="34" charset="0"/>
            </a:rPr>
            <a:t>10</a:t>
          </a:r>
        </a:p>
      </xdr:txBody>
    </xdr:sp>
    <xdr:clientData/>
  </xdr:twoCellAnchor>
  <xdr:twoCellAnchor>
    <xdr:from>
      <xdr:col>4</xdr:col>
      <xdr:colOff>470370</xdr:colOff>
      <xdr:row>6</xdr:row>
      <xdr:rowOff>125432</xdr:rowOff>
    </xdr:from>
    <xdr:to>
      <xdr:col>9</xdr:col>
      <xdr:colOff>117593</xdr:colOff>
      <xdr:row>10</xdr:row>
      <xdr:rowOff>7840</xdr:rowOff>
    </xdr:to>
    <xdr:sp macro="" textlink="">
      <xdr:nvSpPr>
        <xdr:cNvPr id="34" name="TextBox 33">
          <a:extLst>
            <a:ext uri="{FF2B5EF4-FFF2-40B4-BE49-F238E27FC236}">
              <a16:creationId xmlns:a16="http://schemas.microsoft.com/office/drawing/2014/main" id="{BC2A836F-0840-4D9D-A1F7-AD058EC28E5D}"/>
            </a:ext>
          </a:extLst>
        </xdr:cNvPr>
        <xdr:cNvSpPr txBox="1"/>
      </xdr:nvSpPr>
      <xdr:spPr>
        <a:xfrm>
          <a:off x="2916296" y="1207284"/>
          <a:ext cx="2704630" cy="603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rial Black" panose="020B0A04020102020204" pitchFamily="34" charset="0"/>
            </a:rPr>
            <a:t>#15.1B</a:t>
          </a:r>
        </a:p>
      </xdr:txBody>
    </xdr:sp>
    <xdr:clientData/>
  </xdr:twoCellAnchor>
  <xdr:twoCellAnchor editAs="oneCell">
    <xdr:from>
      <xdr:col>19</xdr:col>
      <xdr:colOff>395031</xdr:colOff>
      <xdr:row>17</xdr:row>
      <xdr:rowOff>133272</xdr:rowOff>
    </xdr:from>
    <xdr:to>
      <xdr:col>24</xdr:col>
      <xdr:colOff>109753</xdr:colOff>
      <xdr:row>21</xdr:row>
      <xdr:rowOff>7840</xdr:rowOff>
    </xdr:to>
    <mc:AlternateContent xmlns:mc="http://schemas.openxmlformats.org/markup-compatibility/2006">
      <mc:Choice xmlns:a14="http://schemas.microsoft.com/office/drawing/2010/main" Requires="a14">
        <xdr:graphicFrame macro="">
          <xdr:nvGraphicFramePr>
            <xdr:cNvPr id="35" name="status">
              <a:extLst>
                <a:ext uri="{FF2B5EF4-FFF2-40B4-BE49-F238E27FC236}">
                  <a16:creationId xmlns:a16="http://schemas.microsoft.com/office/drawing/2014/main" id="{059F0FDB-1058-8F23-910A-65EDB1F6D78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2013179" y="3198519"/>
              <a:ext cx="2772130" cy="5958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19</xdr:col>
      <xdr:colOff>395031</xdr:colOff>
      <xdr:row>5</xdr:row>
      <xdr:rowOff>163611</xdr:rowOff>
    </xdr:from>
    <xdr:to>
      <xdr:col>24</xdr:col>
      <xdr:colOff>128487</xdr:colOff>
      <xdr:row>9</xdr:row>
      <xdr:rowOff>86235</xdr:rowOff>
    </xdr:to>
    <mc:AlternateContent xmlns:mc="http://schemas.openxmlformats.org/markup-compatibility/2006">
      <mc:Choice xmlns:a14="http://schemas.microsoft.com/office/drawing/2010/main" Requires="a14">
        <xdr:graphicFrame macro="">
          <xdr:nvGraphicFramePr>
            <xdr:cNvPr id="36" name="score_categ">
              <a:extLst>
                <a:ext uri="{FF2B5EF4-FFF2-40B4-BE49-F238E27FC236}">
                  <a16:creationId xmlns:a16="http://schemas.microsoft.com/office/drawing/2014/main" id="{4E6B5FC6-3728-2AAE-1684-43BF094DE2E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core_categ"/>
            </a:graphicData>
          </a:graphic>
        </xdr:graphicFrame>
      </mc:Choice>
      <mc:Fallback>
        <xdr:sp macro="" textlink="">
          <xdr:nvSpPr>
            <xdr:cNvPr id="0" name=""/>
            <xdr:cNvSpPr>
              <a:spLocks noTextEdit="1"/>
            </xdr:cNvSpPr>
          </xdr:nvSpPr>
          <xdr:spPr>
            <a:xfrm>
              <a:off x="12013179" y="1065154"/>
              <a:ext cx="2790864" cy="643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19</xdr:col>
      <xdr:colOff>395031</xdr:colOff>
      <xdr:row>11</xdr:row>
      <xdr:rowOff>19599</xdr:rowOff>
    </xdr:from>
    <xdr:to>
      <xdr:col>24</xdr:col>
      <xdr:colOff>120648</xdr:colOff>
      <xdr:row>16</xdr:row>
      <xdr:rowOff>19599</xdr:rowOff>
    </xdr:to>
    <mc:AlternateContent xmlns:mc="http://schemas.openxmlformats.org/markup-compatibility/2006">
      <mc:Choice xmlns:a14="http://schemas.microsoft.com/office/drawing/2010/main" Requires="a14">
        <xdr:graphicFrame macro="">
          <xdr:nvGraphicFramePr>
            <xdr:cNvPr id="37" name="dimension">
              <a:extLst>
                <a:ext uri="{FF2B5EF4-FFF2-40B4-BE49-F238E27FC236}">
                  <a16:creationId xmlns:a16="http://schemas.microsoft.com/office/drawing/2014/main" id="{E8C82FD4-1446-664A-23CD-CAC7F2FD671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imension"/>
            </a:graphicData>
          </a:graphic>
        </xdr:graphicFrame>
      </mc:Choice>
      <mc:Fallback>
        <xdr:sp macro="" textlink="">
          <xdr:nvSpPr>
            <xdr:cNvPr id="0" name=""/>
            <xdr:cNvSpPr>
              <a:spLocks noTextEdit="1"/>
            </xdr:cNvSpPr>
          </xdr:nvSpPr>
          <xdr:spPr>
            <a:xfrm>
              <a:off x="12013179" y="2002994"/>
              <a:ext cx="2783025" cy="901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19</xdr:col>
      <xdr:colOff>391975</xdr:colOff>
      <xdr:row>16</xdr:row>
      <xdr:rowOff>15680</xdr:rowOff>
    </xdr:from>
    <xdr:to>
      <xdr:col>24</xdr:col>
      <xdr:colOff>117592</xdr:colOff>
      <xdr:row>17</xdr:row>
      <xdr:rowOff>117593</xdr:rowOff>
    </xdr:to>
    <xdr:sp macro="" textlink="">
      <xdr:nvSpPr>
        <xdr:cNvPr id="38" name="TextBox 37">
          <a:extLst>
            <a:ext uri="{FF2B5EF4-FFF2-40B4-BE49-F238E27FC236}">
              <a16:creationId xmlns:a16="http://schemas.microsoft.com/office/drawing/2014/main" id="{09561292-5C54-F812-EF1A-5FAF56620858}"/>
            </a:ext>
          </a:extLst>
        </xdr:cNvPr>
        <xdr:cNvSpPr txBox="1"/>
      </xdr:nvSpPr>
      <xdr:spPr>
        <a:xfrm>
          <a:off x="12010123" y="2900618"/>
          <a:ext cx="2783025"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cap="none" spc="0">
              <a:ln w="0"/>
              <a:solidFill>
                <a:schemeClr val="bg1"/>
              </a:solidFill>
              <a:effectLst>
                <a:outerShdw blurRad="38100" dist="25400" dir="5400000" algn="ctr" rotWithShape="0">
                  <a:srgbClr val="6E747A">
                    <a:alpha val="43000"/>
                  </a:srgbClr>
                </a:outerShdw>
              </a:effectLst>
            </a:rPr>
            <a:t>Project's</a:t>
          </a:r>
          <a:r>
            <a:rPr lang="en-US" sz="1400" b="1" cap="none" spc="0" baseline="0">
              <a:ln w="0"/>
              <a:solidFill>
                <a:schemeClr val="bg1"/>
              </a:solidFill>
              <a:effectLst>
                <a:outerShdw blurRad="38100" dist="25400" dir="5400000" algn="ctr" rotWithShape="0">
                  <a:srgbClr val="6E747A">
                    <a:alpha val="43000"/>
                  </a:srgbClr>
                </a:outerShdw>
              </a:effectLst>
            </a:rPr>
            <a:t> Status</a:t>
          </a:r>
          <a:endParaRPr lang="en-US" sz="1400" b="1"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19</xdr:col>
      <xdr:colOff>391975</xdr:colOff>
      <xdr:row>4</xdr:row>
      <xdr:rowOff>19128</xdr:rowOff>
    </xdr:from>
    <xdr:to>
      <xdr:col>24</xdr:col>
      <xdr:colOff>117592</xdr:colOff>
      <xdr:row>5</xdr:row>
      <xdr:rowOff>121042</xdr:rowOff>
    </xdr:to>
    <xdr:sp macro="" textlink="">
      <xdr:nvSpPr>
        <xdr:cNvPr id="40" name="TextBox 39">
          <a:extLst>
            <a:ext uri="{FF2B5EF4-FFF2-40B4-BE49-F238E27FC236}">
              <a16:creationId xmlns:a16="http://schemas.microsoft.com/office/drawing/2014/main" id="{721B06CB-8256-4950-ACC9-4F4F54062B3B}"/>
            </a:ext>
          </a:extLst>
        </xdr:cNvPr>
        <xdr:cNvSpPr txBox="1"/>
      </xdr:nvSpPr>
      <xdr:spPr>
        <a:xfrm>
          <a:off x="12010123" y="740363"/>
          <a:ext cx="2783025"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cap="none" spc="0">
              <a:ln w="0"/>
              <a:solidFill>
                <a:schemeClr val="bg1"/>
              </a:solidFill>
              <a:effectLst>
                <a:outerShdw blurRad="38100" dist="25400" dir="5400000" algn="ctr" rotWithShape="0">
                  <a:srgbClr val="6E747A">
                    <a:alpha val="43000"/>
                  </a:srgbClr>
                </a:outerShdw>
              </a:effectLst>
            </a:rPr>
            <a:t>Contractor's Category</a:t>
          </a:r>
        </a:p>
      </xdr:txBody>
    </xdr:sp>
    <xdr:clientData/>
  </xdr:twoCellAnchor>
  <xdr:twoCellAnchor>
    <xdr:from>
      <xdr:col>19</xdr:col>
      <xdr:colOff>391975</xdr:colOff>
      <xdr:row>9</xdr:row>
      <xdr:rowOff>85294</xdr:rowOff>
    </xdr:from>
    <xdr:to>
      <xdr:col>24</xdr:col>
      <xdr:colOff>117592</xdr:colOff>
      <xdr:row>11</xdr:row>
      <xdr:rowOff>6899</xdr:rowOff>
    </xdr:to>
    <xdr:sp macro="" textlink="">
      <xdr:nvSpPr>
        <xdr:cNvPr id="41" name="TextBox 40">
          <a:extLst>
            <a:ext uri="{FF2B5EF4-FFF2-40B4-BE49-F238E27FC236}">
              <a16:creationId xmlns:a16="http://schemas.microsoft.com/office/drawing/2014/main" id="{543AD850-16E9-47CE-B2BC-E231939F48BA}"/>
            </a:ext>
          </a:extLst>
        </xdr:cNvPr>
        <xdr:cNvSpPr txBox="1"/>
      </xdr:nvSpPr>
      <xdr:spPr>
        <a:xfrm>
          <a:off x="12010123" y="1708072"/>
          <a:ext cx="2783025"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cap="none" spc="0">
              <a:ln w="0"/>
              <a:solidFill>
                <a:schemeClr val="bg1"/>
              </a:solidFill>
              <a:effectLst>
                <a:outerShdw blurRad="38100" dist="25400" dir="5400000" algn="ctr" rotWithShape="0">
                  <a:srgbClr val="6E747A">
                    <a:alpha val="43000"/>
                  </a:srgbClr>
                </a:outerShdw>
              </a:effectLst>
            </a:rPr>
            <a:t>Causation</a:t>
          </a:r>
        </a:p>
      </xdr:txBody>
    </xdr:sp>
    <xdr:clientData/>
  </xdr:twoCellAnchor>
  <xdr:twoCellAnchor>
    <xdr:from>
      <xdr:col>17</xdr:col>
      <xdr:colOff>180309</xdr:colOff>
      <xdr:row>0</xdr:row>
      <xdr:rowOff>47036</xdr:rowOff>
    </xdr:from>
    <xdr:to>
      <xdr:col>24</xdr:col>
      <xdr:colOff>86235</xdr:colOff>
      <xdr:row>4</xdr:row>
      <xdr:rowOff>94074</xdr:rowOff>
    </xdr:to>
    <xdr:sp macro="" textlink="">
      <xdr:nvSpPr>
        <xdr:cNvPr id="42" name="TextBox 41">
          <a:extLst>
            <a:ext uri="{FF2B5EF4-FFF2-40B4-BE49-F238E27FC236}">
              <a16:creationId xmlns:a16="http://schemas.microsoft.com/office/drawing/2014/main" id="{9496F23B-4700-0928-6600-A10D33E84632}"/>
            </a:ext>
          </a:extLst>
        </xdr:cNvPr>
        <xdr:cNvSpPr txBox="1"/>
      </xdr:nvSpPr>
      <xdr:spPr>
        <a:xfrm>
          <a:off x="10575494" y="47036"/>
          <a:ext cx="4186297" cy="768273"/>
        </a:xfrm>
        <a:prstGeom prst="rect">
          <a:avLst/>
        </a:prstGeom>
        <a:solidFill>
          <a:schemeClr val="bg1">
            <a:lumMod val="85000"/>
          </a:schemeClr>
        </a:solidFill>
        <a:ln w="9525" cmpd="sng">
          <a:noFill/>
        </a:ln>
        <a:effectLst>
          <a:glow rad="139700">
            <a:schemeClr val="accent5">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0" cap="none" spc="0">
              <a:ln w="0"/>
              <a:solidFill>
                <a:schemeClr val="tx1"/>
              </a:solidFill>
              <a:effectLst>
                <a:outerShdw blurRad="38100" dist="19050" dir="2700000" algn="tl" rotWithShape="0">
                  <a:schemeClr val="dk1">
                    <a:alpha val="40000"/>
                  </a:schemeClr>
                </a:outerShdw>
              </a:effectLst>
            </a:rPr>
            <a:t>MONSURU ADELEKE </a:t>
          </a:r>
        </a:p>
      </xdr:txBody>
    </xdr:sp>
    <xdr:clientData/>
  </xdr:twoCellAnchor>
  <xdr:twoCellAnchor>
    <xdr:from>
      <xdr:col>17</xdr:col>
      <xdr:colOff>407654</xdr:colOff>
      <xdr:row>3</xdr:row>
      <xdr:rowOff>47038</xdr:rowOff>
    </xdr:from>
    <xdr:to>
      <xdr:col>22</xdr:col>
      <xdr:colOff>180310</xdr:colOff>
      <xdr:row>4</xdr:row>
      <xdr:rowOff>86235</xdr:rowOff>
    </xdr:to>
    <xdr:sp macro="" textlink="">
      <xdr:nvSpPr>
        <xdr:cNvPr id="43" name="TextBox 42">
          <a:extLst>
            <a:ext uri="{FF2B5EF4-FFF2-40B4-BE49-F238E27FC236}">
              <a16:creationId xmlns:a16="http://schemas.microsoft.com/office/drawing/2014/main" id="{4A9B95BA-29DA-F13D-D54B-C0CCCC6D7778}"/>
            </a:ext>
          </a:extLst>
        </xdr:cNvPr>
        <xdr:cNvSpPr txBox="1"/>
      </xdr:nvSpPr>
      <xdr:spPr>
        <a:xfrm>
          <a:off x="10802839" y="587964"/>
          <a:ext cx="2830064" cy="219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t>Email -</a:t>
          </a:r>
          <a:r>
            <a:rPr lang="en-US" sz="1050" b="1" baseline="0"/>
            <a:t>- </a:t>
          </a:r>
          <a:r>
            <a:rPr lang="en-US" sz="1050" b="1"/>
            <a:t>adelekemonsuru840@gmail.com</a:t>
          </a:r>
        </a:p>
      </xdr:txBody>
    </xdr:sp>
    <xdr:clientData/>
  </xdr:twoCellAnchor>
  <xdr:twoCellAnchor>
    <xdr:from>
      <xdr:col>17</xdr:col>
      <xdr:colOff>391977</xdr:colOff>
      <xdr:row>2</xdr:row>
      <xdr:rowOff>50486</xdr:rowOff>
    </xdr:from>
    <xdr:to>
      <xdr:col>23</xdr:col>
      <xdr:colOff>513022</xdr:colOff>
      <xdr:row>3</xdr:row>
      <xdr:rowOff>86234</xdr:rowOff>
    </xdr:to>
    <xdr:sp macro="" textlink="">
      <xdr:nvSpPr>
        <xdr:cNvPr id="46" name="TextBox 45">
          <a:extLst>
            <a:ext uri="{FF2B5EF4-FFF2-40B4-BE49-F238E27FC236}">
              <a16:creationId xmlns:a16="http://schemas.microsoft.com/office/drawing/2014/main" id="{D967AD00-763D-48DE-BB43-492647B0D700}"/>
            </a:ext>
          </a:extLst>
        </xdr:cNvPr>
        <xdr:cNvSpPr txBox="1"/>
      </xdr:nvSpPr>
      <xdr:spPr>
        <a:xfrm>
          <a:off x="10787162" y="411103"/>
          <a:ext cx="3789934" cy="21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t>Linked In</a:t>
          </a:r>
          <a:r>
            <a:rPr lang="en-US" sz="1050" b="1" baseline="0"/>
            <a:t> -- </a:t>
          </a:r>
          <a:r>
            <a:rPr lang="en-US" sz="1100" b="1" i="0">
              <a:solidFill>
                <a:schemeClr val="dk1"/>
              </a:solidFill>
              <a:effectLst/>
              <a:latin typeface="+mn-lt"/>
              <a:ea typeface="+mn-ea"/>
              <a:cs typeface="+mn-cs"/>
            </a:rPr>
            <a:t>www.linkedin.com/in/adeleke-monsuru</a:t>
          </a:r>
          <a:endParaRPr lang="en-US" sz="1050" b="1"/>
        </a:p>
      </xdr:txBody>
    </xdr:sp>
    <xdr:clientData/>
  </xdr:twoCellAnchor>
  <xdr:twoCellAnchor>
    <xdr:from>
      <xdr:col>17</xdr:col>
      <xdr:colOff>368457</xdr:colOff>
      <xdr:row>1</xdr:row>
      <xdr:rowOff>69614</xdr:rowOff>
    </xdr:from>
    <xdr:to>
      <xdr:col>24</xdr:col>
      <xdr:colOff>368457</xdr:colOff>
      <xdr:row>2</xdr:row>
      <xdr:rowOff>156790</xdr:rowOff>
    </xdr:to>
    <xdr:sp macro="" textlink="">
      <xdr:nvSpPr>
        <xdr:cNvPr id="47" name="TextBox 46">
          <a:extLst>
            <a:ext uri="{FF2B5EF4-FFF2-40B4-BE49-F238E27FC236}">
              <a16:creationId xmlns:a16="http://schemas.microsoft.com/office/drawing/2014/main" id="{61C13B04-16C5-4CC1-99F1-96FCB02350BF}"/>
            </a:ext>
          </a:extLst>
        </xdr:cNvPr>
        <xdr:cNvSpPr txBox="1"/>
      </xdr:nvSpPr>
      <xdr:spPr>
        <a:xfrm>
          <a:off x="10763642" y="249923"/>
          <a:ext cx="4280371" cy="267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t>Git</a:t>
          </a:r>
          <a:r>
            <a:rPr lang="en-US" sz="1050" b="1" baseline="0"/>
            <a:t>Hub -- https://github.com/Shile-tech/Construction_PMO_Analytics</a:t>
          </a:r>
          <a:endParaRPr lang="en-US" sz="105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838200</xdr:colOff>
      <xdr:row>2</xdr:row>
      <xdr:rowOff>34925</xdr:rowOff>
    </xdr:from>
    <xdr:to>
      <xdr:col>9</xdr:col>
      <xdr:colOff>312119</xdr:colOff>
      <xdr:row>17</xdr:row>
      <xdr:rowOff>15875</xdr:rowOff>
    </xdr:to>
    <xdr:graphicFrame macro="">
      <xdr:nvGraphicFramePr>
        <xdr:cNvPr id="2" name="Chart 1">
          <a:extLst>
            <a:ext uri="{FF2B5EF4-FFF2-40B4-BE49-F238E27FC236}">
              <a16:creationId xmlns:a16="http://schemas.microsoft.com/office/drawing/2014/main" id="{65695C79-508B-93EF-0251-4261108D92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838414</xdr:colOff>
      <xdr:row>24</xdr:row>
      <xdr:rowOff>84487</xdr:rowOff>
    </xdr:from>
    <xdr:to>
      <xdr:col>8</xdr:col>
      <xdr:colOff>1011695</xdr:colOff>
      <xdr:row>35</xdr:row>
      <xdr:rowOff>172203</xdr:rowOff>
    </xdr:to>
    <xdr:graphicFrame macro="">
      <xdr:nvGraphicFramePr>
        <xdr:cNvPr id="5" name="Chart 4">
          <a:extLst>
            <a:ext uri="{FF2B5EF4-FFF2-40B4-BE49-F238E27FC236}">
              <a16:creationId xmlns:a16="http://schemas.microsoft.com/office/drawing/2014/main" id="{A5E427CB-4E3F-4B85-2E7C-D3CB2DA40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305121</xdr:colOff>
      <xdr:row>43</xdr:row>
      <xdr:rowOff>70603</xdr:rowOff>
    </xdr:from>
    <xdr:to>
      <xdr:col>9</xdr:col>
      <xdr:colOff>855636</xdr:colOff>
      <xdr:row>58</xdr:row>
      <xdr:rowOff>69311</xdr:rowOff>
    </xdr:to>
    <xdr:graphicFrame macro="">
      <xdr:nvGraphicFramePr>
        <xdr:cNvPr id="9" name="Chart 8">
          <a:extLst>
            <a:ext uri="{FF2B5EF4-FFF2-40B4-BE49-F238E27FC236}">
              <a16:creationId xmlns:a16="http://schemas.microsoft.com/office/drawing/2014/main" id="{FC902202-4F05-5FBD-86B5-269E0FE7C2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835402</xdr:colOff>
      <xdr:row>63</xdr:row>
      <xdr:rowOff>108274</xdr:rowOff>
    </xdr:from>
    <xdr:to>
      <xdr:col>8</xdr:col>
      <xdr:colOff>699576</xdr:colOff>
      <xdr:row>74</xdr:row>
      <xdr:rowOff>48432</xdr:rowOff>
    </xdr:to>
    <xdr:graphicFrame macro="">
      <xdr:nvGraphicFramePr>
        <xdr:cNvPr id="10" name="Chart 9">
          <a:extLst>
            <a:ext uri="{FF2B5EF4-FFF2-40B4-BE49-F238E27FC236}">
              <a16:creationId xmlns:a16="http://schemas.microsoft.com/office/drawing/2014/main" id="{5896C9AA-8069-6797-5733-D27CFCE39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372389</xdr:colOff>
      <xdr:row>80</xdr:row>
      <xdr:rowOff>11409</xdr:rowOff>
    </xdr:from>
    <xdr:to>
      <xdr:col>8</xdr:col>
      <xdr:colOff>1069813</xdr:colOff>
      <xdr:row>92</xdr:row>
      <xdr:rowOff>182966</xdr:rowOff>
    </xdr:to>
    <xdr:graphicFrame macro="">
      <xdr:nvGraphicFramePr>
        <xdr:cNvPr id="11" name="Chart 10">
          <a:extLst>
            <a:ext uri="{FF2B5EF4-FFF2-40B4-BE49-F238E27FC236}">
              <a16:creationId xmlns:a16="http://schemas.microsoft.com/office/drawing/2014/main" id="{46090034-3F57-0434-8345-6C51772E3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9.496063078703" createdVersion="8" refreshedVersion="8" minRefreshableVersion="3" recordCount="50" xr:uid="{A1D777EC-299A-46E7-9BED-373863012631}">
  <cacheSource type="worksheet">
    <worksheetSource name="Table1"/>
  </cacheSource>
  <cacheFields count="16">
    <cacheField name="Project_ID" numFmtId="0">
      <sharedItems/>
    </cacheField>
    <cacheField name="Project_Name" numFmtId="0">
      <sharedItems/>
    </cacheField>
    <cacheField name="Project_Type" numFmtId="0">
      <sharedItems/>
    </cacheField>
    <cacheField name="State" numFmtId="0">
      <sharedItems/>
    </cacheField>
    <cacheField name="Contractor" numFmtId="0">
      <sharedItems/>
    </cacheField>
    <cacheField name="Consultant" numFmtId="0">
      <sharedItems/>
    </cacheField>
    <cacheField name="Year_Start" numFmtId="0">
      <sharedItems containsSemiMixedTypes="0" containsString="0" containsNumber="1" containsInteger="1" minValue="2019" maxValue="2023"/>
    </cacheField>
    <cacheField name="Budget_NGN" numFmtId="167">
      <sharedItems containsSemiMixedTypes="0" containsString="0" containsNumber="1" containsInteger="1" minValue="96146000" maxValue="1979571000"/>
    </cacheField>
    <cacheField name="Actual_Cost_NGN" numFmtId="167">
      <sharedItems containsSemiMixedTypes="0" containsString="0" containsNumber="1" containsInteger="1" minValue="102480000" maxValue="2813677000"/>
    </cacheField>
    <cacheField name="Cost_Overrun_NGN" numFmtId="167">
      <sharedItems containsSemiMixedTypes="0" containsString="0" containsNumber="1" containsInteger="1" minValue="-30349000" maxValue="952091000"/>
    </cacheField>
    <cacheField name="Planned_Duration_Months" numFmtId="1">
      <sharedItems containsSemiMixedTypes="0" containsString="0" containsNumber="1" containsInteger="1" minValue="12" maxValue="47"/>
    </cacheField>
    <cacheField name="Actual_Duration_Months" numFmtId="1">
      <sharedItems containsSemiMixedTypes="0" containsString="0" containsNumber="1" containsInteger="1" minValue="16" maxValue="74"/>
    </cacheField>
    <cacheField name="Schedule_Delay_Months" numFmtId="1">
      <sharedItems containsSemiMixedTypes="0" containsString="0" containsNumber="1" containsInteger="1" minValue="1" maxValue="29"/>
    </cacheField>
    <cacheField name="Pct_Complete" numFmtId="164">
      <sharedItems containsSemiMixedTypes="0" containsString="0" containsNumber="1" containsInteger="1" minValue="38" maxValue="100"/>
    </cacheField>
    <cacheField name="Primary_Delay_Reason"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9.496065162035" createdVersion="8" refreshedVersion="8" minRefreshableVersion="3" recordCount="18" xr:uid="{0AC3385B-4453-42AD-9BC4-D0AB609F5244}">
  <cacheSource type="worksheet">
    <worksheetSource name="improv__areas"/>
  </cacheSource>
  <cacheFields count="4">
    <cacheField name="category" numFmtId="0">
      <sharedItems count="18">
        <s v="CCECC Consult"/>
        <s v="AECOM Nigeria"/>
        <s v="Scott Wilson"/>
        <s v="Adverse weather"/>
        <s v="Community protest"/>
        <s v="Design changes"/>
        <s v="Equipment breakdown"/>
        <s v="Labour dispute"/>
        <s v="Drainage System"/>
        <s v="Erosion Control"/>
        <s v="School Block"/>
        <s v="Bridge"/>
        <s v="Culvert"/>
        <s v="Rivers"/>
        <s v="Abuja"/>
        <s v="Delta"/>
        <s v="Enugu"/>
        <s v="Kano"/>
      </sharedItems>
    </cacheField>
    <cacheField name="dimension" numFmtId="0">
      <sharedItems count="4">
        <s v="Consultant"/>
        <s v="Delay Reason"/>
        <s v="Project Type"/>
        <s v="State"/>
      </sharedItems>
    </cacheField>
    <cacheField name="high_risk_count" numFmtId="0">
      <sharedItems containsSemiMixedTypes="0" containsString="0" containsNumber="1" containsInteger="1" minValue="1" maxValue="3"/>
    </cacheField>
    <cacheField name="avg_risk_score" numFmtId="165">
      <sharedItems containsSemiMixedTypes="0" containsString="0" containsNumber="1" minValue="50.28" maxValue="60.05"/>
    </cacheField>
  </cacheFields>
  <extLst>
    <ext xmlns:x14="http://schemas.microsoft.com/office/spreadsheetml/2009/9/main" uri="{725AE2AE-9491-48be-B2B4-4EB974FC3084}">
      <x14:pivotCacheDefinition pivotCacheId="97358829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9.496065624997" createdVersion="8" refreshedVersion="8" minRefreshableVersion="3" recordCount="49" xr:uid="{A84A41BD-2FBB-4D9B-9B92-563BC684C0F8}">
  <cacheSource type="worksheet">
    <worksheetSource name="risks_flag"/>
  </cacheSource>
  <cacheFields count="13">
    <cacheField name="project_id" numFmtId="0">
      <sharedItems/>
    </cacheField>
    <cacheField name="project_name" numFmtId="0">
      <sharedItems/>
    </cacheField>
    <cacheField name="contractor" numFmtId="0">
      <sharedItems/>
    </cacheField>
    <cacheField name="budget_NGN" numFmtId="167">
      <sharedItems containsSemiMixedTypes="0" containsString="0" containsNumber="1" containsInteger="1" minValue="96146000" maxValue="1979571000"/>
    </cacheField>
    <cacheField name="cost_overrun_NGN" numFmtId="167">
      <sharedItems containsSemiMixedTypes="0" containsString="0" containsNumber="1" containsInteger="1" minValue="-30349000" maxValue="952091000"/>
    </cacheField>
    <cacheField name="perc_cost_overrun %" numFmtId="165">
      <sharedItems containsSemiMixedTypes="0" containsString="0" containsNumber="1" minValue="0" maxValue="54.11"/>
    </cacheField>
    <cacheField name="planned_dur_months" numFmtId="0">
      <sharedItems containsSemiMixedTypes="0" containsString="0" containsNumber="1" containsInteger="1" minValue="12" maxValue="47"/>
    </cacheField>
    <cacheField name="sched_delay_months" numFmtId="0">
      <sharedItems containsSemiMixedTypes="0" containsString="0" containsNumber="1" containsInteger="1" minValue="1" maxValue="29"/>
    </cacheField>
    <cacheField name="perc_dur_overrun %" numFmtId="165">
      <sharedItems containsSemiMixedTypes="0" containsString="0" containsNumber="1" minValue="5.56" maxValue="67.86"/>
    </cacheField>
    <cacheField name="perct_completed %" numFmtId="165">
      <sharedItems containsSemiMixedTypes="0" containsString="0" containsNumber="1" containsInteger="1" minValue="38" maxValue="99"/>
    </cacheField>
    <cacheField name="status" numFmtId="0">
      <sharedItems count="2">
        <s v="Ongoing"/>
        <s v="Delayed"/>
      </sharedItems>
    </cacheField>
    <cacheField name="risk_score %" numFmtId="0">
      <sharedItems containsSemiMixedTypes="0" containsString="0" containsNumber="1" minValue="2.78" maxValue="60.05"/>
    </cacheField>
    <cacheField name="risk_variation" numFmtId="0">
      <sharedItems count="3">
        <s v="High Risk"/>
        <s v="Moderate Risk"/>
        <s v="Low Risk"/>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9.49606597222" createdVersion="8" refreshedVersion="8" minRefreshableVersion="3" recordCount="10" xr:uid="{54587EAC-18F2-4F9B-B25C-61C557D97035}">
  <cacheSource type="worksheet">
    <worksheetSource name="contractor_s_perform"/>
  </cacheSource>
  <cacheFields count="6">
    <cacheField name="contractor" numFmtId="0">
      <sharedItems count="10">
        <s v="Grandeur Works"/>
        <s v="Apex Infra Ltd"/>
        <s v="Tetrazzini &amp; Sons Ltd"/>
        <s v="BuildRight Nig Ltd"/>
        <s v="Nile Construction"/>
        <s v="Greenfield Eng Ltd"/>
        <s v="Mainland Const. Co."/>
        <s v="Pioneer Builders Ltd"/>
        <s v="Fedex Const. Co."/>
        <s v="Horizon Builders"/>
      </sharedItems>
    </cacheField>
    <cacheField name="total_project" numFmtId="0">
      <sharedItems containsSemiMixedTypes="0" containsString="0" containsNumber="1" containsInteger="1" minValue="2" maxValue="10"/>
    </cacheField>
    <cacheField name="avg_cost_overrun_pct %" numFmtId="165">
      <sharedItems containsSemiMixedTypes="0" containsString="0" containsNumber="1" minValue="18.8" maxValue="42.5"/>
    </cacheField>
    <cacheField name="avg_dur_overrun_perc %" numFmtId="165">
      <sharedItems containsSemiMixedTypes="0" containsString="0" containsNumber="1" minValue="26.33" maxValue="50.05"/>
    </cacheField>
    <cacheField name="perfom_score %" numFmtId="165">
      <sharedItems containsSemiMixedTypes="0" containsString="0" containsNumber="1" minValue="25.7" maxValue="53.04"/>
    </cacheField>
    <cacheField name="score_categ" numFmtId="0">
      <sharedItems count="2">
        <s v="Average"/>
        <s v="Poor"/>
      </sharedItems>
    </cacheField>
  </cacheFields>
  <extLst>
    <ext xmlns:x14="http://schemas.microsoft.com/office/spreadsheetml/2009/9/main" uri="{725AE2AE-9491-48be-B2B4-4EB974FC3084}">
      <x14:pivotCacheDefinition pivotCacheId="115928758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9.496066319443" createdVersion="8" refreshedVersion="8" minRefreshableVersion="3" recordCount="6" xr:uid="{1E02F312-EE2D-43CA-BE0F-DC45C1E69E7B}">
  <cacheSource type="worksheet">
    <worksheetSource name="phases_overrun__2"/>
  </cacheSource>
  <cacheFields count="4">
    <cacheField name="phase" numFmtId="0">
      <sharedItems count="6">
        <s v="Procurement"/>
        <s v="Mobilisation"/>
        <s v="Design"/>
        <s v="Testing &amp; Commissioning"/>
        <s v="Handover"/>
        <s v="Construction"/>
      </sharedItems>
    </cacheField>
    <cacheField name="total_projects" numFmtId="0">
      <sharedItems containsSemiMixedTypes="0" containsString="0" containsNumber="1" containsInteger="1" minValue="50" maxValue="50"/>
    </cacheField>
    <cacheField name="total_phase_overrun_NGN" numFmtId="167">
      <sharedItems containsSemiMixedTypes="0" containsString="0" containsNumber="1" containsInteger="1" minValue="468754000" maxValue="5332441000"/>
    </cacheField>
    <cacheField name="avg_overrun_perct %" numFmtId="165">
      <sharedItems containsSemiMixedTypes="0" containsString="0" containsNumber="1" minValue="17.510000000000002" maxValue="24.085999999999999"/>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9.496066782405" createdVersion="8" refreshedVersion="8" minRefreshableVersion="3" recordCount="10" xr:uid="{AE7EB03E-70D4-4C32-B5F6-7EA0138DC5E8}">
  <cacheSource type="worksheet">
    <worksheetSource name="projects_overrun"/>
  </cacheSource>
  <cacheFields count="7">
    <cacheField name="project_id" numFmtId="0">
      <sharedItems count="10">
        <s v="PRJ-026"/>
        <s v="PRJ-021"/>
        <s v="PRJ-027"/>
        <s v="PRJ-005"/>
        <s v="PRJ-033"/>
        <s v="PRJ-031"/>
        <s v="PRJ-045"/>
        <s v="PRJ-007"/>
        <s v="PRJ-042"/>
        <s v="PRJ-004"/>
      </sharedItems>
    </cacheField>
    <cacheField name="project_name" numFmtId="0">
      <sharedItems/>
    </cacheField>
    <cacheField name="budget_NGN" numFmtId="43">
      <sharedItems containsSemiMixedTypes="0" containsString="0" containsNumber="1" containsInteger="1" minValue="1095645000" maxValue="1979571000"/>
    </cacheField>
    <cacheField name="cost_overrun_NGN" numFmtId="43">
      <sharedItems containsSemiMixedTypes="0" containsString="0" containsNumber="1" containsInteger="1" minValue="584931000" maxValue="952091000"/>
    </cacheField>
    <cacheField name="overrun_perc" numFmtId="165">
      <sharedItems containsSemiMixedTypes="0" containsString="0" containsNumber="1" minValue="31.68" maxValue="54.11"/>
    </cacheField>
    <cacheField name="sched_delay_months" numFmtId="0">
      <sharedItems containsSemiMixedTypes="0" containsString="0" containsNumber="1" containsInteger="1" minValue="2" maxValue="16"/>
    </cacheField>
    <cacheField name="status" numFmtId="0">
      <sharedItems count="2">
        <s v="Delayed"/>
        <s v="Ongoing"/>
      </sharedItems>
    </cacheField>
  </cacheFields>
  <extLst>
    <ext xmlns:x14="http://schemas.microsoft.com/office/spreadsheetml/2009/9/main" uri="{725AE2AE-9491-48be-B2B4-4EB974FC3084}">
      <x14:pivotCacheDefinition pivotCacheId="1645205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PRJ-001"/>
    <s v="Lagos Bridge Phase 1"/>
    <s v="Bridge"/>
    <s v="Lagos"/>
    <s v="Pioneer Builders Ltd"/>
    <s v="Mott McDonald"/>
    <n v="2020"/>
    <n v="322099000"/>
    <n v="325802000"/>
    <n v="3703000"/>
    <n v="46"/>
    <n v="49"/>
    <n v="3"/>
    <n v="84"/>
    <s v="Poor site supervision"/>
    <s v="Ongoing"/>
  </r>
  <r>
    <s v="PRJ-002"/>
    <s v="Kano Bridge Phase 2"/>
    <s v="Bridge"/>
    <s v="Kano"/>
    <s v="Apex Infra Ltd"/>
    <s v="Scott Wilson"/>
    <n v="2023"/>
    <n v="101745000"/>
    <n v="108796000"/>
    <n v="7051000"/>
    <n v="46"/>
    <n v="60"/>
    <n v="14"/>
    <n v="87"/>
    <s v="Permit issues"/>
    <s v="Ongoing"/>
  </r>
  <r>
    <s v="PRJ-003"/>
    <s v="Rivers Road Construction Phase 2"/>
    <s v="Road Construction"/>
    <s v="Rivers"/>
    <s v="Grandeur Works"/>
    <s v="Julius Berger Consult"/>
    <n v="2021"/>
    <n v="353185000"/>
    <n v="538370000"/>
    <n v="185185000"/>
    <n v="33"/>
    <n v="35"/>
    <n v="2"/>
    <n v="78"/>
    <s v="Material price escalation"/>
    <s v="Ongoing"/>
  </r>
  <r>
    <s v="PRJ-004"/>
    <s v=" Edo School Block Phase 2"/>
    <s v="School Block"/>
    <s v=" Edo"/>
    <s v="Pioneer Builders Ltd"/>
    <s v="AECOM Nigeria"/>
    <n v="2022"/>
    <n v="1095645000"/>
    <n v="1680576000"/>
    <n v="584931000"/>
    <n v="36"/>
    <n v="38"/>
    <n v="2"/>
    <n v="67"/>
    <s v="Permit issues"/>
    <s v="Ongoing"/>
  </r>
  <r>
    <s v="PRJ-005"/>
    <s v="Kano Erosion Control Phase 2"/>
    <s v="Erosion Control"/>
    <s v="Kano"/>
    <s v="BuildRight Nig Ltd"/>
    <s v="AECOM Nigeria"/>
    <n v="2020"/>
    <n v="1557483000"/>
    <n v="2400288000"/>
    <n v="842805000"/>
    <n v="26"/>
    <n v="42"/>
    <n v="16"/>
    <n v="78"/>
    <s v="Design changes"/>
    <s v="Ongoing"/>
  </r>
  <r>
    <s v="PRJ-006"/>
    <s v="Rivers School Block Phase 3"/>
    <s v="School Block"/>
    <s v="Rivers"/>
    <s v="Nile Construction"/>
    <s v="Julius Berger Consult"/>
    <n v="2020"/>
    <n v="1356842000"/>
    <n v="1860355000"/>
    <n v="503513000"/>
    <n v="16"/>
    <n v="23"/>
    <n v="7"/>
    <n v="51"/>
    <s v="Labour dispute"/>
    <s v="Ongoing"/>
  </r>
  <r>
    <s v="PRJ-007"/>
    <s v="Rivers Housing Estate Phase 1"/>
    <s v="Housing Estate"/>
    <s v="Rivers"/>
    <s v="Greenfield Eng Ltd"/>
    <s v="CCECC Consult"/>
    <n v="2021"/>
    <n v="1979571000"/>
    <n v="2640747000"/>
    <n v="661176000"/>
    <n v="47"/>
    <n v="54"/>
    <n v="7"/>
    <n v="71"/>
    <s v="Poor site supervision"/>
    <s v="Ongoing"/>
  </r>
  <r>
    <s v="PRJ-008"/>
    <s v="Enugu Road Construction Phase 3"/>
    <s v="Road Construction"/>
    <s v="Enugu"/>
    <s v="Grandeur Works"/>
    <s v="Julius Berger Consult"/>
    <n v="2019"/>
    <n v="461417000"/>
    <n v="699391000"/>
    <n v="237974000"/>
    <n v="32"/>
    <n v="37"/>
    <n v="5"/>
    <n v="93"/>
    <s v="Community protest"/>
    <s v="Ongoing"/>
  </r>
  <r>
    <s v="PRJ-009"/>
    <s v="Rivers Culvert Phase 1"/>
    <s v="Culvert"/>
    <s v="Rivers"/>
    <s v="Pioneer Builders Ltd"/>
    <s v="Mott McDonald"/>
    <n v="2020"/>
    <n v="1502729000"/>
    <n v="1913555000"/>
    <n v="410826000"/>
    <n v="39"/>
    <n v="64"/>
    <n v="25"/>
    <n v="81"/>
    <s v="Funding delay"/>
    <s v="Ongoing"/>
  </r>
  <r>
    <s v="PRJ-010"/>
    <s v="Anambra Drainage System Phase 1"/>
    <s v="Drainage System"/>
    <s v="Anambra"/>
    <s v="Greenfield Eng Ltd"/>
    <s v="AECOM Nigeria"/>
    <n v="2019"/>
    <n v="1729151000"/>
    <n v="1801265000"/>
    <n v="72114000"/>
    <n v="22"/>
    <n v="34"/>
    <n v="12"/>
    <n v="84"/>
    <s v="Permit issues"/>
    <s v="Ongoing"/>
  </r>
  <r>
    <s v="PRJ-011"/>
    <s v="Delta Hospital Phase 2"/>
    <s v="Hospital"/>
    <s v="Delta"/>
    <s v="Mainland Const. Co."/>
    <s v="CCECC Consult"/>
    <n v="2023"/>
    <n v="540258000"/>
    <n v="692576000"/>
    <n v="152318000"/>
    <n v="12"/>
    <n v="18"/>
    <n v="6"/>
    <n v="44"/>
    <s v="Labour dispute"/>
    <s v="Delayed"/>
  </r>
  <r>
    <s v="PRJ-012"/>
    <s v="Abuja School Block Phase 1"/>
    <s v="School Block"/>
    <s v="Abuja"/>
    <s v="Pioneer Builders Ltd"/>
    <s v="CCECC Consult"/>
    <n v="2020"/>
    <n v="934761000"/>
    <n v="1422977000"/>
    <n v="488216000"/>
    <n v="28"/>
    <n v="47"/>
    <n v="19"/>
    <n v="52"/>
    <s v="Labour dispute"/>
    <s v="Ongoing"/>
  </r>
  <r>
    <s v="PRJ-013"/>
    <s v="Anambra Water Treatment Plant Phase 1"/>
    <s v="Water Treatment Plant"/>
    <s v="Anambra"/>
    <s v="Mainland Const. Co."/>
    <s v="Mott McDonald"/>
    <n v="2020"/>
    <n v="779132000"/>
    <n v="815696000"/>
    <n v="36564000"/>
    <n v="45"/>
    <n v="74"/>
    <n v="29"/>
    <n v="71"/>
    <s v="Equipment breakdown"/>
    <s v="Ongoing"/>
  </r>
  <r>
    <s v="PRJ-014"/>
    <s v="Enugu Bridge Phase 3"/>
    <s v="Bridge"/>
    <s v="Enugu"/>
    <s v="Pioneer Builders Ltd"/>
    <s v="Mott McDonald"/>
    <n v="2019"/>
    <n v="519700000"/>
    <n v="670628000"/>
    <n v="150928000"/>
    <n v="17"/>
    <n v="18"/>
    <n v="1"/>
    <n v="92"/>
    <s v="Material price escalation"/>
    <s v="Ongoing"/>
  </r>
  <r>
    <s v="PRJ-015"/>
    <s v="Rivers Drainage System Phase 3"/>
    <s v="Drainage System"/>
    <s v="Rivers"/>
    <s v="Greenfield Eng Ltd"/>
    <s v="Scott Wilson"/>
    <n v="2020"/>
    <n v="566860000"/>
    <n v="835245000"/>
    <n v="268385000"/>
    <n v="39"/>
    <n v="65"/>
    <n v="26"/>
    <n v="99"/>
    <s v="Adverse weather"/>
    <s v="Ongoing"/>
  </r>
  <r>
    <s v="PRJ-016"/>
    <s v="Delta Water Treatment Plant Phase 3"/>
    <s v="Water Treatment Plant"/>
    <s v="Delta"/>
    <s v="Nile Construction"/>
    <s v="CCECC Consult"/>
    <n v="2023"/>
    <n v="930398000"/>
    <n v="1022269000"/>
    <n v="91871000"/>
    <n v="16"/>
    <n v="20"/>
    <n v="4"/>
    <n v="100"/>
    <s v="Adverse weather"/>
    <s v="Completed"/>
  </r>
  <r>
    <s v="PRJ-017"/>
    <s v="Lagos Housing Estate Phase 3"/>
    <s v="Housing Estate"/>
    <s v="Lagos"/>
    <s v="BuildRight Nig Ltd"/>
    <s v="AECOM Nigeria"/>
    <n v="2020"/>
    <n v="181431000"/>
    <n v="175779000"/>
    <n v="-5652000"/>
    <n v="33"/>
    <n v="35"/>
    <n v="2"/>
    <n v="60"/>
    <s v="Design changes"/>
    <s v="Ongoing"/>
  </r>
  <r>
    <s v="PRJ-018"/>
    <s v="Kano Culvert Phase 1"/>
    <s v="Culvert"/>
    <s v="Kano"/>
    <s v="Horizon Builders"/>
    <s v="Mott McDonald"/>
    <n v="2023"/>
    <n v="1173613000"/>
    <n v="1286043000"/>
    <n v="112430000"/>
    <n v="42"/>
    <n v="66"/>
    <n v="24"/>
    <n v="54"/>
    <s v="Material price escalation"/>
    <s v="Ongoing"/>
  </r>
  <r>
    <s v="PRJ-019"/>
    <s v="Enugu Hospital Phase 1"/>
    <s v="Hospital"/>
    <s v="Enugu"/>
    <s v="Grandeur Works"/>
    <s v="CCECC Consult"/>
    <n v="2022"/>
    <n v="1734482000"/>
    <n v="1704133000"/>
    <n v="-30349000"/>
    <n v="18"/>
    <n v="19"/>
    <n v="1"/>
    <n v="73"/>
    <s v="Material price escalation"/>
    <s v="Ongoing"/>
  </r>
  <r>
    <s v="PRJ-020"/>
    <s v="Kano Housing Estate Phase 3"/>
    <s v="Housing Estate"/>
    <s v="Kano"/>
    <s v="Horizon Builders"/>
    <s v="CCECC Consult"/>
    <n v="2020"/>
    <n v="872669000"/>
    <n v="974882000"/>
    <n v="102213000"/>
    <n v="27"/>
    <n v="44"/>
    <n v="17"/>
    <n v="39"/>
    <s v="Equipment breakdown"/>
    <s v="Delayed"/>
  </r>
  <r>
    <s v="PRJ-021"/>
    <s v="Lagos Bridge Phase 2"/>
    <s v="Bridge"/>
    <s v="Lagos"/>
    <s v="Horizon Builders"/>
    <s v="AECOM Nigeria"/>
    <n v="2019"/>
    <n v="1856416000"/>
    <n v="2708915000"/>
    <n v="852499000"/>
    <n v="22"/>
    <n v="28"/>
    <n v="6"/>
    <n v="91"/>
    <s v="Adverse weather"/>
    <s v="Ongoing"/>
  </r>
  <r>
    <s v="PRJ-022"/>
    <s v="Rivers Road Construction Phase 1"/>
    <s v="Road Construction"/>
    <s v="Rivers"/>
    <s v="Grandeur Works"/>
    <s v="AECOM Nigeria"/>
    <n v="2022"/>
    <n v="567146000"/>
    <n v="805598000"/>
    <n v="238452000"/>
    <n v="41"/>
    <n v="49"/>
    <n v="8"/>
    <n v="92"/>
    <s v="Contractor default"/>
    <s v="Ongoing"/>
  </r>
  <r>
    <s v="PRJ-023"/>
    <s v="Kano Water Treatment Plant Phase 1"/>
    <s v="Water Treatment Plant"/>
    <s v="Kano"/>
    <s v="Tetrazzini &amp; Sons Ltd"/>
    <s v="Scott Wilson"/>
    <n v="2023"/>
    <n v="168867000"/>
    <n v="192198000"/>
    <n v="23331000"/>
    <n v="15"/>
    <n v="21"/>
    <n v="6"/>
    <n v="94"/>
    <s v="Labour dispute"/>
    <s v="Ongoing"/>
  </r>
  <r>
    <s v="PRJ-024"/>
    <s v="Anambra Road Construction Phase 3"/>
    <s v="Road Construction"/>
    <s v="Anambra"/>
    <s v="BuildRight Nig Ltd"/>
    <s v="Mott McDonald"/>
    <n v="2019"/>
    <n v="1210318000"/>
    <n v="1640135000"/>
    <n v="429817000"/>
    <n v="27"/>
    <n v="35"/>
    <n v="8"/>
    <n v="61"/>
    <s v="Permit issues"/>
    <s v="Ongoing"/>
  </r>
  <r>
    <s v="PRJ-025"/>
    <s v=" Edo Road Construction Phase 2"/>
    <s v="Road Construction"/>
    <s v=" Edo"/>
    <s v="BuildRight Nig Ltd"/>
    <s v="CCECC Consult"/>
    <n v="2023"/>
    <n v="1152193000"/>
    <n v="1313295000"/>
    <n v="161102000"/>
    <n v="28"/>
    <n v="32"/>
    <n v="4"/>
    <n v="70"/>
    <s v="Adverse weather"/>
    <s v="Ongoing"/>
  </r>
  <r>
    <s v="PRJ-026"/>
    <s v="Rivers Hospital Phase 3"/>
    <s v="Hospital"/>
    <s v="Rivers"/>
    <s v="Pioneer Builders Ltd"/>
    <s v="CCECC Consult"/>
    <n v="2021"/>
    <n v="1861586000"/>
    <n v="2813677000"/>
    <n v="952091000"/>
    <n v="12"/>
    <n v="16"/>
    <n v="4"/>
    <n v="42"/>
    <s v="Material price escalation"/>
    <s v="Delayed"/>
  </r>
  <r>
    <s v="PRJ-027"/>
    <s v="Anambra Housing Estate Phase 3"/>
    <s v="Housing Estate"/>
    <s v="Anambra"/>
    <s v="Pioneer Builders Ltd"/>
    <s v="Mott McDonald"/>
    <n v="2021"/>
    <n v="1767685000"/>
    <n v="2611864000"/>
    <n v="844179000"/>
    <n v="35"/>
    <n v="42"/>
    <n v="7"/>
    <n v="86"/>
    <s v="Labour dispute"/>
    <s v="Ongoing"/>
  </r>
  <r>
    <s v="PRJ-028"/>
    <s v=" Edo Water Treatment Plant Phase 1"/>
    <s v="Water Treatment Plant"/>
    <s v=" Edo"/>
    <s v="Horizon Builders"/>
    <s v="AECOM Nigeria"/>
    <n v="2023"/>
    <n v="633789000"/>
    <n v="854369000"/>
    <n v="220580000"/>
    <n v="20"/>
    <n v="24"/>
    <n v="4"/>
    <n v="43"/>
    <s v="Labour dispute"/>
    <s v="Delayed"/>
  </r>
  <r>
    <s v="PRJ-029"/>
    <s v="Oyo Water Treatment Plant Phase 1"/>
    <s v="Water Treatment Plant"/>
    <s v="Oyo"/>
    <s v="Mainland Const. Co."/>
    <s v="Mott McDonald"/>
    <n v="2021"/>
    <n v="447015000"/>
    <n v="594773000"/>
    <n v="147758000"/>
    <n v="28"/>
    <n v="38"/>
    <n v="10"/>
    <n v="62"/>
    <s v="Poor site supervision"/>
    <s v="Ongoing"/>
  </r>
  <r>
    <s v="PRJ-030"/>
    <s v="Oyo Hospital Phase 3"/>
    <s v="Hospital"/>
    <s v="Oyo"/>
    <s v="Tetrazzini &amp; Sons Ltd"/>
    <s v="AECOM Nigeria"/>
    <n v="2021"/>
    <n v="1553682000"/>
    <n v="2069921000"/>
    <n v="516239000"/>
    <n v="28"/>
    <n v="31"/>
    <n v="3"/>
    <n v="86"/>
    <s v="Labour dispute"/>
    <s v="Ongoing"/>
  </r>
  <r>
    <s v="PRJ-031"/>
    <s v="Anambra Hospital Phase 3"/>
    <s v="Hospital"/>
    <s v="Anambra"/>
    <s v="Tetrazzini &amp; Sons Ltd"/>
    <s v="AECOM Nigeria"/>
    <n v="2019"/>
    <n v="1892849000"/>
    <n v="2583004000"/>
    <n v="690155000"/>
    <n v="21"/>
    <n v="29"/>
    <n v="8"/>
    <n v="77"/>
    <s v="Permit issues"/>
    <s v="Ongoing"/>
  </r>
  <r>
    <s v="PRJ-032"/>
    <s v="Delta Drainage System Phase 3"/>
    <s v="Drainage System"/>
    <s v="Delta"/>
    <s v="Fedex Const. Co."/>
    <s v="AECOM Nigeria"/>
    <n v="2021"/>
    <n v="761070000"/>
    <n v="1149104000"/>
    <n v="388034000"/>
    <n v="14"/>
    <n v="23"/>
    <n v="9"/>
    <n v="56"/>
    <s v="Adverse weather"/>
    <s v="Ongoing"/>
  </r>
  <r>
    <s v="PRJ-033"/>
    <s v="Enugu Bridge Phase 1"/>
    <s v="Bridge"/>
    <s v="Enugu"/>
    <s v="Horizon Builders"/>
    <s v="CCECC Consult"/>
    <n v="2023"/>
    <n v="1511481000"/>
    <n v="2275472000"/>
    <n v="763991000"/>
    <n v="27"/>
    <n v="43"/>
    <n v="16"/>
    <n v="52"/>
    <s v="Community protest"/>
    <s v="Ongoing"/>
  </r>
  <r>
    <s v="PRJ-034"/>
    <s v="Enugu Drainage System Phase 1"/>
    <s v="Drainage System"/>
    <s v="Enugu"/>
    <s v="Grandeur Works"/>
    <s v="Mott McDonald"/>
    <n v="2021"/>
    <n v="360436000"/>
    <n v="494074000"/>
    <n v="133638000"/>
    <n v="36"/>
    <n v="58"/>
    <n v="22"/>
    <n v="90"/>
    <s v="Adverse weather"/>
    <s v="Ongoing"/>
  </r>
  <r>
    <s v="PRJ-035"/>
    <s v="Enugu Culvert Phase 2"/>
    <s v="Culvert"/>
    <s v="Enugu"/>
    <s v="Pioneer Builders Ltd"/>
    <s v="Mott McDonald"/>
    <n v="2020"/>
    <n v="96146000"/>
    <n v="102480000"/>
    <n v="6334000"/>
    <n v="33"/>
    <n v="39"/>
    <n v="6"/>
    <n v="38"/>
    <s v="Design changes"/>
    <s v="Delayed"/>
  </r>
  <r>
    <s v="PRJ-036"/>
    <s v="Delta Retaining Wall Phase 1"/>
    <s v="Retaining Wall"/>
    <s v="Delta"/>
    <s v="Horizon Builders"/>
    <s v="Julius Berger Consult"/>
    <n v="2019"/>
    <n v="274916000"/>
    <n v="421237000"/>
    <n v="146321000"/>
    <n v="23"/>
    <n v="32"/>
    <n v="9"/>
    <n v="63"/>
    <s v="Poor site supervision"/>
    <s v="Ongoing"/>
  </r>
  <r>
    <s v="PRJ-037"/>
    <s v="Delta Erosion Control Phase 1"/>
    <s v="Erosion Control"/>
    <s v="Delta"/>
    <s v="Nile Construction"/>
    <s v="Julius Berger Consult"/>
    <n v="2022"/>
    <n v="1232107000"/>
    <n v="1548578000"/>
    <n v="316471000"/>
    <n v="36"/>
    <n v="59"/>
    <n v="23"/>
    <n v="54"/>
    <s v="Design changes"/>
    <s v="Ongoing"/>
  </r>
  <r>
    <s v="PRJ-038"/>
    <s v="Lagos Hospital Phase 3"/>
    <s v="Hospital"/>
    <s v="Lagos"/>
    <s v="Horizon Builders"/>
    <s v="Scott Wilson"/>
    <n v="2020"/>
    <n v="760232000"/>
    <n v="754138000"/>
    <n v="-6094000"/>
    <n v="33"/>
    <n v="47"/>
    <n v="14"/>
    <n v="45"/>
    <s v="Design changes"/>
    <s v="Delayed"/>
  </r>
  <r>
    <s v="PRJ-039"/>
    <s v="Delta Water Treatment Plant Phase 3"/>
    <s v="Water Treatment Plant"/>
    <s v="Delta"/>
    <s v="Nile Construction"/>
    <s v="CCECC Consult"/>
    <n v="2021"/>
    <n v="1131104000"/>
    <n v="1204743000"/>
    <n v="73639000"/>
    <n v="36"/>
    <n v="53"/>
    <n v="17"/>
    <n v="52"/>
    <s v="Permit issues"/>
    <s v="Ongoing"/>
  </r>
  <r>
    <s v="PRJ-040"/>
    <s v="Delta Water Treatment Plant Phase 3"/>
    <s v="Water Treatment Plant"/>
    <s v="Delta"/>
    <s v="Horizon Builders"/>
    <s v="AECOM Nigeria"/>
    <n v="2021"/>
    <n v="609482000"/>
    <n v="736213000"/>
    <n v="126731000"/>
    <n v="32"/>
    <n v="42"/>
    <n v="10"/>
    <n v="86"/>
    <s v="Adverse weather"/>
    <s v="Ongoing"/>
  </r>
  <r>
    <s v="PRJ-041"/>
    <s v="Rivers Culvert Phase 1"/>
    <s v="Culvert"/>
    <s v="Rivers"/>
    <s v="BuildRight Nig Ltd"/>
    <s v="Julius Berger Consult"/>
    <n v="2023"/>
    <n v="1344515000"/>
    <n v="1776853000"/>
    <n v="432338000"/>
    <n v="17"/>
    <n v="27"/>
    <n v="10"/>
    <n v="60"/>
    <s v="Design changes"/>
    <s v="Ongoing"/>
  </r>
  <r>
    <s v="PRJ-042"/>
    <s v="Rivers Housing Estate Phase 2"/>
    <s v="Housing Estate"/>
    <s v="Rivers"/>
    <s v="Tetrazzini &amp; Sons Ltd"/>
    <s v="AECOM Nigeria"/>
    <n v="2020"/>
    <n v="1968675000"/>
    <n v="2592281000"/>
    <n v="623606000"/>
    <n v="16"/>
    <n v="21"/>
    <n v="5"/>
    <n v="54"/>
    <s v="Community protest"/>
    <s v="Ongoing"/>
  </r>
  <r>
    <s v="PRJ-043"/>
    <s v="Kano Hospital Phase 2"/>
    <s v="Hospital"/>
    <s v="Kano"/>
    <s v="Fedex Const. Co."/>
    <s v="AECOM Nigeria"/>
    <n v="2019"/>
    <n v="1567920000"/>
    <n v="1695399000"/>
    <n v="127479000"/>
    <n v="45"/>
    <n v="60"/>
    <n v="15"/>
    <n v="61"/>
    <s v="Material price escalation"/>
    <s v="Ongoing"/>
  </r>
  <r>
    <s v="PRJ-044"/>
    <s v="Kaduna Drainage System Phase 3"/>
    <s v="Drainage System"/>
    <s v="Kaduna"/>
    <s v="Horizon Builders"/>
    <s v="Scott Wilson"/>
    <n v="2023"/>
    <n v="668731000"/>
    <n v="938330000"/>
    <n v="269599000"/>
    <n v="40"/>
    <n v="57"/>
    <n v="17"/>
    <n v="94"/>
    <s v="Community protest"/>
    <s v="Ongoing"/>
  </r>
  <r>
    <s v="PRJ-045"/>
    <s v="Rivers Culvert Phase 3"/>
    <s v="Culvert"/>
    <s v="Rivers"/>
    <s v="Greenfield Eng Ltd"/>
    <s v="CCECC Consult"/>
    <n v="2021"/>
    <n v="1515965000"/>
    <n v="2204088000"/>
    <n v="688123000"/>
    <n v="29"/>
    <n v="45"/>
    <n v="16"/>
    <n v="96"/>
    <s v="Equipment breakdown"/>
    <s v="Ongoing"/>
  </r>
  <r>
    <s v="PRJ-046"/>
    <s v="Oyo Housing Estate Phase 2"/>
    <s v="Housing Estate"/>
    <s v="Oyo"/>
    <s v="Greenfield Eng Ltd"/>
    <s v="AECOM Nigeria"/>
    <n v="2021"/>
    <n v="507262000"/>
    <n v="584117000"/>
    <n v="76855000"/>
    <n v="46"/>
    <n v="49"/>
    <n v="3"/>
    <n v="49"/>
    <s v="Adverse weather"/>
    <s v="Delayed"/>
  </r>
  <r>
    <s v="PRJ-047"/>
    <s v="Kano Drainage System Phase 3"/>
    <s v="Drainage System"/>
    <s v="Kano"/>
    <s v="BuildRight Nig Ltd"/>
    <s v="CCECC Consult"/>
    <n v="2022"/>
    <n v="695219000"/>
    <n v="854810000"/>
    <n v="159591000"/>
    <n v="15"/>
    <n v="17"/>
    <n v="2"/>
    <n v="83"/>
    <s v="Community protest"/>
    <s v="Ongoing"/>
  </r>
  <r>
    <s v="PRJ-048"/>
    <s v=" Edo Road Construction Phase 3"/>
    <s v="Road Construction"/>
    <s v=" Edo"/>
    <s v="Grandeur Works"/>
    <s v="CCECC Consult"/>
    <n v="2019"/>
    <n v="1888346000"/>
    <n v="2132259000"/>
    <n v="243913000"/>
    <n v="36"/>
    <n v="58"/>
    <n v="22"/>
    <n v="83"/>
    <s v="Labour dispute"/>
    <s v="Ongoing"/>
  </r>
  <r>
    <s v="PRJ-049"/>
    <s v=" Edo Retaining Wall Phase 2"/>
    <s v="Retaining Wall"/>
    <s v=" Edo"/>
    <s v="Apex Infra Ltd"/>
    <s v="CCECC Consult"/>
    <n v="2020"/>
    <n v="582224000"/>
    <n v="722764000"/>
    <n v="140540000"/>
    <n v="36"/>
    <n v="44"/>
    <n v="8"/>
    <n v="81"/>
    <s v="Contractor default"/>
    <s v="Ongoing"/>
  </r>
  <r>
    <s v="PRJ-050"/>
    <s v=" Edo Drainage System Phase 1"/>
    <s v="Drainage System"/>
    <s v=" Edo"/>
    <s v="Horizon Builders"/>
    <s v="AECOM Nigeria"/>
    <n v="2022"/>
    <n v="1204191000"/>
    <n v="1623008000"/>
    <n v="418817000"/>
    <n v="17"/>
    <n v="25"/>
    <n v="8"/>
    <n v="47"/>
    <s v="Equipment breakdown"/>
    <s v="Delay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n v="3"/>
    <n v="55.08"/>
  </r>
  <r>
    <x v="1"/>
    <x v="0"/>
    <n v="2"/>
    <n v="57.73"/>
  </r>
  <r>
    <x v="2"/>
    <x v="0"/>
    <n v="1"/>
    <n v="57.01"/>
  </r>
  <r>
    <x v="3"/>
    <x v="1"/>
    <n v="2"/>
    <n v="57.33"/>
  </r>
  <r>
    <x v="4"/>
    <x v="1"/>
    <n v="1"/>
    <n v="54.91"/>
  </r>
  <r>
    <x v="5"/>
    <x v="1"/>
    <n v="1"/>
    <n v="57.83"/>
  </r>
  <r>
    <x v="6"/>
    <x v="1"/>
    <n v="1"/>
    <n v="50.28"/>
  </r>
  <r>
    <x v="7"/>
    <x v="1"/>
    <n v="1"/>
    <n v="60.05"/>
  </r>
  <r>
    <x v="8"/>
    <x v="2"/>
    <n v="2"/>
    <n v="57.33"/>
  </r>
  <r>
    <x v="9"/>
    <x v="2"/>
    <n v="1"/>
    <n v="57.83"/>
  </r>
  <r>
    <x v="10"/>
    <x v="2"/>
    <n v="1"/>
    <n v="60.05"/>
  </r>
  <r>
    <x v="11"/>
    <x v="2"/>
    <n v="1"/>
    <n v="54.91"/>
  </r>
  <r>
    <x v="12"/>
    <x v="2"/>
    <n v="1"/>
    <n v="50.28"/>
  </r>
  <r>
    <x v="13"/>
    <x v="3"/>
    <n v="2"/>
    <n v="53.64"/>
  </r>
  <r>
    <x v="14"/>
    <x v="3"/>
    <n v="1"/>
    <n v="60.05"/>
  </r>
  <r>
    <x v="15"/>
    <x v="3"/>
    <n v="1"/>
    <n v="57.64"/>
  </r>
  <r>
    <x v="16"/>
    <x v="3"/>
    <n v="1"/>
    <n v="54.91"/>
  </r>
  <r>
    <x v="17"/>
    <x v="3"/>
    <n v="1"/>
    <n v="57.8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s v="PRJ-012"/>
    <s v="Abuja School Block Phase 1"/>
    <s v="Pioneer Builders Ltd"/>
    <n v="934761000"/>
    <n v="488216000"/>
    <n v="52.23"/>
    <n v="28"/>
    <n v="19"/>
    <n v="67.86"/>
    <n v="52"/>
    <x v="0"/>
    <n v="60.05"/>
    <x v="0"/>
  </r>
  <r>
    <s v="PRJ-005"/>
    <s v="Kano Erosion Control Phase 2"/>
    <s v="BuildRight Nig Ltd"/>
    <n v="1557483000"/>
    <n v="842805000"/>
    <n v="54.11"/>
    <n v="26"/>
    <n v="16"/>
    <n v="61.54"/>
    <n v="78"/>
    <x v="0"/>
    <n v="57.83"/>
    <x v="0"/>
  </r>
  <r>
    <s v="PRJ-032"/>
    <s v="Delta Drainage System Phase 3"/>
    <s v="Fedex Const. Co."/>
    <n v="761070000"/>
    <n v="388034000"/>
    <n v="50.99"/>
    <n v="14"/>
    <n v="9"/>
    <n v="64.290000000000006"/>
    <n v="56"/>
    <x v="0"/>
    <n v="57.64"/>
    <x v="0"/>
  </r>
  <r>
    <s v="PRJ-015"/>
    <s v="Rivers Drainage System Phase 3"/>
    <s v="Greenfield Eng Ltd"/>
    <n v="566860000"/>
    <n v="268385000"/>
    <n v="47.35"/>
    <n v="39"/>
    <n v="26"/>
    <n v="66.67"/>
    <n v="99"/>
    <x v="0"/>
    <n v="57.01"/>
    <x v="0"/>
  </r>
  <r>
    <s v="PRJ-033"/>
    <s v="Enugu Bridge Phase 1"/>
    <s v="Horizon Builders"/>
    <n v="1511481000"/>
    <n v="763991000"/>
    <n v="50.55"/>
    <n v="27"/>
    <n v="16"/>
    <n v="59.26"/>
    <n v="52"/>
    <x v="0"/>
    <n v="54.91"/>
    <x v="0"/>
  </r>
  <r>
    <s v="PRJ-045"/>
    <s v="Rivers Culvert Phase 3"/>
    <s v="Greenfield Eng Ltd"/>
    <n v="1515965000"/>
    <n v="688123000"/>
    <n v="45.39"/>
    <n v="29"/>
    <n v="16"/>
    <n v="55.17"/>
    <n v="96"/>
    <x v="0"/>
    <n v="50.28"/>
    <x v="0"/>
  </r>
  <r>
    <s v="PRJ-034"/>
    <s v="Enugu Drainage System Phase 1"/>
    <s v="Grandeur Works"/>
    <n v="360436000"/>
    <n v="133638000"/>
    <n v="37.08"/>
    <n v="36"/>
    <n v="22"/>
    <n v="61.11"/>
    <n v="90"/>
    <x v="0"/>
    <n v="49.09"/>
    <x v="1"/>
  </r>
  <r>
    <s v="PRJ-036"/>
    <s v="Delta Retaining Wall Phase 1"/>
    <s v="Horizon Builders"/>
    <n v="274916000"/>
    <n v="146321000"/>
    <n v="53.22"/>
    <n v="23"/>
    <n v="9"/>
    <n v="39.130000000000003"/>
    <n v="63"/>
    <x v="0"/>
    <n v="46.17"/>
    <x v="1"/>
  </r>
  <r>
    <s v="PRJ-009"/>
    <s v="Rivers Culvert Phase 1"/>
    <s v="Pioneer Builders Ltd"/>
    <n v="1502729000"/>
    <n v="410826000"/>
    <n v="27.34"/>
    <n v="39"/>
    <n v="25"/>
    <n v="64.099999999999994"/>
    <n v="81"/>
    <x v="0"/>
    <n v="45.72"/>
    <x v="1"/>
  </r>
  <r>
    <s v="PRJ-041"/>
    <s v="Rivers Culvert Phase 1"/>
    <s v="BuildRight Nig Ltd"/>
    <n v="1344515000"/>
    <n v="432338000"/>
    <n v="32.159999999999997"/>
    <n v="17"/>
    <n v="10"/>
    <n v="58.82"/>
    <n v="60"/>
    <x v="0"/>
    <n v="45.49"/>
    <x v="1"/>
  </r>
  <r>
    <s v="PRJ-037"/>
    <s v="Delta Erosion Control Phase 1"/>
    <s v="Nile Construction"/>
    <n v="1232107000"/>
    <n v="316471000"/>
    <n v="25.69"/>
    <n v="36"/>
    <n v="23"/>
    <n v="63.89"/>
    <n v="54"/>
    <x v="0"/>
    <n v="44.79"/>
    <x v="1"/>
  </r>
  <r>
    <s v="PRJ-026"/>
    <s v="Rivers Hospital Phase 3"/>
    <s v="Pioneer Builders Ltd"/>
    <n v="1861586000"/>
    <n v="952091000"/>
    <n v="51.14"/>
    <n v="12"/>
    <n v="4"/>
    <n v="33.33"/>
    <n v="42"/>
    <x v="1"/>
    <n v="42.23"/>
    <x v="1"/>
  </r>
  <r>
    <s v="PRJ-044"/>
    <s v="Kaduna Drainage System Phase 3"/>
    <s v="Horizon Builders"/>
    <n v="668731000"/>
    <n v="269599000"/>
    <n v="40.32"/>
    <n v="40"/>
    <n v="17"/>
    <n v="42.5"/>
    <n v="94"/>
    <x v="0"/>
    <n v="41.41"/>
    <x v="1"/>
  </r>
  <r>
    <s v="PRJ-050"/>
    <s v=" Edo Drainage System Phase 1"/>
    <s v="Horizon Builders"/>
    <n v="1204191000"/>
    <n v="418817000"/>
    <n v="34.78"/>
    <n v="17"/>
    <n v="8"/>
    <n v="47.06"/>
    <n v="47"/>
    <x v="1"/>
    <n v="40.92"/>
    <x v="1"/>
  </r>
  <r>
    <s v="PRJ-006"/>
    <s v="Rivers School Block Phase 3"/>
    <s v="Nile Construction"/>
    <n v="1356842000"/>
    <n v="503513000"/>
    <n v="37.11"/>
    <n v="16"/>
    <n v="7"/>
    <n v="43.75"/>
    <n v="51"/>
    <x v="0"/>
    <n v="40.43"/>
    <x v="1"/>
  </r>
  <r>
    <s v="PRJ-011"/>
    <s v="Delta Hospital Phase 2"/>
    <s v="Mainland Const. Co."/>
    <n v="540258000"/>
    <n v="152318000"/>
    <n v="28.19"/>
    <n v="12"/>
    <n v="6"/>
    <n v="50"/>
    <n v="44"/>
    <x v="1"/>
    <n v="39.090000000000003"/>
    <x v="1"/>
  </r>
  <r>
    <s v="PRJ-020"/>
    <s v="Kano Housing Estate Phase 3"/>
    <s v="Horizon Builders"/>
    <n v="872669000"/>
    <n v="102213000"/>
    <n v="11.71"/>
    <n v="27"/>
    <n v="17"/>
    <n v="62.96"/>
    <n v="39"/>
    <x v="1"/>
    <n v="37.340000000000003"/>
    <x v="1"/>
  </r>
  <r>
    <s v="PRJ-031"/>
    <s v="Anambra Hospital Phase 3"/>
    <s v="Tetrazzini &amp; Sons Ltd"/>
    <n v="1892849000"/>
    <n v="690155000"/>
    <n v="36.46"/>
    <n v="21"/>
    <n v="8"/>
    <n v="38.1"/>
    <n v="77"/>
    <x v="0"/>
    <n v="37.28"/>
    <x v="1"/>
  </r>
  <r>
    <s v="PRJ-048"/>
    <s v=" Edo Road Construction Phase 3"/>
    <s v="Grandeur Works"/>
    <n v="1888346000"/>
    <n v="243913000"/>
    <n v="12.92"/>
    <n v="36"/>
    <n v="22"/>
    <n v="61.11"/>
    <n v="83"/>
    <x v="0"/>
    <n v="37.020000000000003"/>
    <x v="1"/>
  </r>
  <r>
    <s v="PRJ-021"/>
    <s v="Lagos Bridge Phase 2"/>
    <s v="Horizon Builders"/>
    <n v="1856416000"/>
    <n v="852499000"/>
    <n v="45.92"/>
    <n v="22"/>
    <n v="6"/>
    <n v="27.27"/>
    <n v="91"/>
    <x v="0"/>
    <n v="36.590000000000003"/>
    <x v="1"/>
  </r>
  <r>
    <s v="PRJ-013"/>
    <s v="Anambra Water Treatment Plant Phase 1"/>
    <s v="Mainland Const. Co."/>
    <n v="779132000"/>
    <n v="36564000"/>
    <n v="4.6900000000000004"/>
    <n v="45"/>
    <n v="29"/>
    <n v="64.44"/>
    <n v="71"/>
    <x v="0"/>
    <n v="34.56"/>
    <x v="1"/>
  </r>
  <r>
    <s v="PRJ-029"/>
    <s v="Oyo Water Treatment Plant Phase 1"/>
    <s v="Mainland Const. Co."/>
    <n v="447015000"/>
    <n v="147758000"/>
    <n v="33.049999999999997"/>
    <n v="28"/>
    <n v="10"/>
    <n v="35.71"/>
    <n v="62"/>
    <x v="0"/>
    <n v="34.380000000000003"/>
    <x v="1"/>
  </r>
  <r>
    <s v="PRJ-027"/>
    <s v="Anambra Housing Estate Phase 3"/>
    <s v="Pioneer Builders Ltd"/>
    <n v="1767685000"/>
    <n v="844179000"/>
    <n v="47.76"/>
    <n v="35"/>
    <n v="7"/>
    <n v="20"/>
    <n v="86"/>
    <x v="0"/>
    <n v="33.880000000000003"/>
    <x v="1"/>
  </r>
  <r>
    <s v="PRJ-008"/>
    <s v="Enugu Road Construction Phase 3"/>
    <s v="Grandeur Works"/>
    <n v="461417000"/>
    <n v="237974000"/>
    <n v="51.57"/>
    <n v="32"/>
    <n v="5"/>
    <n v="15.63"/>
    <n v="93"/>
    <x v="0"/>
    <n v="33.6"/>
    <x v="1"/>
  </r>
  <r>
    <s v="PRJ-018"/>
    <s v="Kano Culvert Phase 1"/>
    <s v="Horizon Builders"/>
    <n v="1173613000"/>
    <n v="112430000"/>
    <n v="9.58"/>
    <n v="42"/>
    <n v="24"/>
    <n v="57.14"/>
    <n v="54"/>
    <x v="0"/>
    <n v="33.36"/>
    <x v="1"/>
  </r>
  <r>
    <s v="PRJ-024"/>
    <s v="Anambra Road Construction Phase 3"/>
    <s v="BuildRight Nig Ltd"/>
    <n v="1210318000"/>
    <n v="429817000"/>
    <n v="35.51"/>
    <n v="27"/>
    <n v="8"/>
    <n v="29.63"/>
    <n v="61"/>
    <x v="0"/>
    <n v="32.57"/>
    <x v="1"/>
  </r>
  <r>
    <s v="PRJ-042"/>
    <s v="Rivers Housing Estate Phase 2"/>
    <s v="Tetrazzini &amp; Sons Ltd"/>
    <n v="1968675000"/>
    <n v="623606000"/>
    <n v="31.68"/>
    <n v="16"/>
    <n v="5"/>
    <n v="31.25"/>
    <n v="54"/>
    <x v="0"/>
    <n v="31.46"/>
    <x v="1"/>
  </r>
  <r>
    <s v="PRJ-022"/>
    <s v="Rivers Road Construction Phase 1"/>
    <s v="Grandeur Works"/>
    <n v="567146000"/>
    <n v="238452000"/>
    <n v="42.04"/>
    <n v="41"/>
    <n v="8"/>
    <n v="19.510000000000002"/>
    <n v="92"/>
    <x v="0"/>
    <n v="30.77"/>
    <x v="1"/>
  </r>
  <r>
    <s v="PRJ-004"/>
    <s v=" Edo School Block Phase 2"/>
    <s v="Pioneer Builders Ltd"/>
    <n v="1095645000"/>
    <n v="584931000"/>
    <n v="53.39"/>
    <n v="36"/>
    <n v="2"/>
    <n v="5.56"/>
    <n v="67"/>
    <x v="0"/>
    <n v="29.48"/>
    <x v="1"/>
  </r>
  <r>
    <s v="PRJ-010"/>
    <s v="Anambra Drainage System Phase 1"/>
    <s v="Greenfield Eng Ltd"/>
    <n v="1729151000"/>
    <n v="72114000"/>
    <n v="4.17"/>
    <n v="22"/>
    <n v="12"/>
    <n v="54.55"/>
    <n v="84"/>
    <x v="0"/>
    <n v="29.36"/>
    <x v="1"/>
  </r>
  <r>
    <s v="PRJ-003"/>
    <s v="Rivers Road Construction Phase 2"/>
    <s v="Grandeur Works"/>
    <n v="353185000"/>
    <n v="185185000"/>
    <n v="52.43"/>
    <n v="33"/>
    <n v="2"/>
    <n v="6.06"/>
    <n v="78"/>
    <x v="0"/>
    <n v="29.25"/>
    <x v="1"/>
  </r>
  <r>
    <s v="PRJ-028"/>
    <s v=" Edo Water Treatment Plant Phase 1"/>
    <s v="Horizon Builders"/>
    <n v="633789000"/>
    <n v="220580000"/>
    <n v="34.799999999999997"/>
    <n v="20"/>
    <n v="4"/>
    <n v="20"/>
    <n v="43"/>
    <x v="1"/>
    <n v="27.4"/>
    <x v="1"/>
  </r>
  <r>
    <s v="PRJ-023"/>
    <s v="Kano Water Treatment Plant Phase 1"/>
    <s v="Tetrazzini &amp; Sons Ltd"/>
    <n v="168867000"/>
    <n v="23331000"/>
    <n v="13.82"/>
    <n v="15"/>
    <n v="6"/>
    <n v="40"/>
    <n v="94"/>
    <x v="0"/>
    <n v="26.91"/>
    <x v="1"/>
  </r>
  <r>
    <s v="PRJ-039"/>
    <s v="Delta Water Treatment Plant Phase 3"/>
    <s v="Nile Construction"/>
    <n v="1131104000"/>
    <n v="73639000"/>
    <n v="6.51"/>
    <n v="36"/>
    <n v="17"/>
    <n v="47.22"/>
    <n v="52"/>
    <x v="0"/>
    <n v="26.86"/>
    <x v="1"/>
  </r>
  <r>
    <s v="PRJ-040"/>
    <s v="Delta Water Treatment Plant Phase 3"/>
    <s v="Horizon Builders"/>
    <n v="609482000"/>
    <n v="126731000"/>
    <n v="20.79"/>
    <n v="32"/>
    <n v="10"/>
    <n v="31.25"/>
    <n v="86"/>
    <x v="0"/>
    <n v="26.02"/>
    <x v="1"/>
  </r>
  <r>
    <s v="PRJ-007"/>
    <s v="Rivers Housing Estate Phase 1"/>
    <s v="Greenfield Eng Ltd"/>
    <n v="1979571000"/>
    <n v="661176000"/>
    <n v="33.4"/>
    <n v="47"/>
    <n v="7"/>
    <n v="14.89"/>
    <n v="71"/>
    <x v="0"/>
    <n v="24.14"/>
    <x v="1"/>
  </r>
  <r>
    <s v="PRJ-049"/>
    <s v=" Edo Retaining Wall Phase 2"/>
    <s v="Apex Infra Ltd"/>
    <n v="582224000"/>
    <n v="140540000"/>
    <n v="24.14"/>
    <n v="36"/>
    <n v="8"/>
    <n v="22.22"/>
    <n v="81"/>
    <x v="0"/>
    <n v="23.18"/>
    <x v="1"/>
  </r>
  <r>
    <s v="PRJ-030"/>
    <s v="Oyo Hospital Phase 3"/>
    <s v="Tetrazzini &amp; Sons Ltd"/>
    <n v="1553682000"/>
    <n v="516239000"/>
    <n v="33.229999999999997"/>
    <n v="28"/>
    <n v="3"/>
    <n v="10.71"/>
    <n v="86"/>
    <x v="0"/>
    <n v="21.97"/>
    <x v="1"/>
  </r>
  <r>
    <s v="PRJ-038"/>
    <s v="Lagos Hospital Phase 3"/>
    <s v="Horizon Builders"/>
    <n v="760232000"/>
    <n v="-6094000"/>
    <n v="0"/>
    <n v="33"/>
    <n v="14"/>
    <n v="42.42"/>
    <n v="45"/>
    <x v="1"/>
    <n v="21.21"/>
    <x v="1"/>
  </r>
  <r>
    <s v="PRJ-043"/>
    <s v="Kano Hospital Phase 2"/>
    <s v="Fedex Const. Co."/>
    <n v="1567920000"/>
    <n v="127479000"/>
    <n v="8.1300000000000008"/>
    <n v="45"/>
    <n v="15"/>
    <n v="33.33"/>
    <n v="61"/>
    <x v="0"/>
    <n v="20.73"/>
    <x v="1"/>
  </r>
  <r>
    <s v="PRJ-002"/>
    <s v="Kano Bridge Phase 2"/>
    <s v="Apex Infra Ltd"/>
    <n v="101745000"/>
    <n v="7051000"/>
    <n v="6.93"/>
    <n v="46"/>
    <n v="14"/>
    <n v="30.43"/>
    <n v="87"/>
    <x v="0"/>
    <n v="18.68"/>
    <x v="2"/>
  </r>
  <r>
    <s v="PRJ-047"/>
    <s v="Kano Drainage System Phase 3"/>
    <s v="BuildRight Nig Ltd"/>
    <n v="695219000"/>
    <n v="159591000"/>
    <n v="22.96"/>
    <n v="15"/>
    <n v="2"/>
    <n v="13.33"/>
    <n v="83"/>
    <x v="0"/>
    <n v="18.14"/>
    <x v="2"/>
  </r>
  <r>
    <s v="PRJ-014"/>
    <s v="Enugu Bridge Phase 3"/>
    <s v="Pioneer Builders Ltd"/>
    <n v="519700000"/>
    <n v="150928000"/>
    <n v="29.04"/>
    <n v="17"/>
    <n v="1"/>
    <n v="5.88"/>
    <n v="92"/>
    <x v="0"/>
    <n v="17.46"/>
    <x v="2"/>
  </r>
  <r>
    <s v="PRJ-025"/>
    <s v=" Edo Road Construction Phase 2"/>
    <s v="BuildRight Nig Ltd"/>
    <n v="1152193000"/>
    <n v="161102000"/>
    <n v="13.98"/>
    <n v="28"/>
    <n v="4"/>
    <n v="14.29"/>
    <n v="70"/>
    <x v="0"/>
    <n v="14.13"/>
    <x v="2"/>
  </r>
  <r>
    <s v="PRJ-035"/>
    <s v="Enugu Culvert Phase 2"/>
    <s v="Pioneer Builders Ltd"/>
    <n v="96146000"/>
    <n v="6334000"/>
    <n v="6.59"/>
    <n v="33"/>
    <n v="6"/>
    <n v="18.18"/>
    <n v="38"/>
    <x v="1"/>
    <n v="12.38"/>
    <x v="1"/>
  </r>
  <r>
    <s v="PRJ-046"/>
    <s v="Oyo Housing Estate Phase 2"/>
    <s v="Greenfield Eng Ltd"/>
    <n v="507262000"/>
    <n v="76855000"/>
    <n v="15.15"/>
    <n v="46"/>
    <n v="3"/>
    <n v="6.52"/>
    <n v="49"/>
    <x v="1"/>
    <n v="10.84"/>
    <x v="1"/>
  </r>
  <r>
    <s v="PRJ-001"/>
    <s v="Lagos Bridge Phase 1"/>
    <s v="Pioneer Builders Ltd"/>
    <n v="322099000"/>
    <n v="3703000"/>
    <n v="1.1499999999999999"/>
    <n v="46"/>
    <n v="3"/>
    <n v="6.52"/>
    <n v="84"/>
    <x v="0"/>
    <n v="3.83"/>
    <x v="2"/>
  </r>
  <r>
    <s v="PRJ-017"/>
    <s v="Lagos Housing Estate Phase 3"/>
    <s v="BuildRight Nig Ltd"/>
    <n v="181431000"/>
    <n v="-5652000"/>
    <n v="0"/>
    <n v="33"/>
    <n v="2"/>
    <n v="6.06"/>
    <n v="60"/>
    <x v="0"/>
    <n v="3.03"/>
    <x v="2"/>
  </r>
  <r>
    <s v="PRJ-019"/>
    <s v="Enugu Hospital Phase 1"/>
    <s v="Grandeur Works"/>
    <n v="1734482000"/>
    <n v="-30349000"/>
    <n v="0"/>
    <n v="18"/>
    <n v="1"/>
    <n v="5.56"/>
    <n v="73"/>
    <x v="0"/>
    <n v="2.78"/>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6"/>
    <n v="18.8"/>
    <n v="28.16"/>
    <n v="53.04"/>
    <x v="0"/>
  </r>
  <r>
    <x v="1"/>
    <n v="2"/>
    <n v="21.6"/>
    <n v="26.33"/>
    <n v="52.07"/>
    <x v="0"/>
  </r>
  <r>
    <x v="2"/>
    <n v="4"/>
    <n v="33.200000000000003"/>
    <n v="30.01"/>
    <n v="36.79"/>
    <x v="0"/>
  </r>
  <r>
    <x v="3"/>
    <n v="6"/>
    <n v="32.9"/>
    <n v="30.61"/>
    <n v="36.49"/>
    <x v="0"/>
  </r>
  <r>
    <x v="4"/>
    <n v="4"/>
    <n v="21.2"/>
    <n v="44.97"/>
    <n v="33.83"/>
    <x v="1"/>
  </r>
  <r>
    <x v="5"/>
    <n v="5"/>
    <n v="28"/>
    <n v="39.56"/>
    <n v="32.44"/>
    <x v="1"/>
  </r>
  <r>
    <x v="6"/>
    <n v="3"/>
    <n v="19.100000000000001"/>
    <n v="50.05"/>
    <n v="30.85"/>
    <x v="1"/>
  </r>
  <r>
    <x v="7"/>
    <n v="8"/>
    <n v="42.5"/>
    <n v="27.68"/>
    <n v="29.82"/>
    <x v="1"/>
  </r>
  <r>
    <x v="8"/>
    <n v="2"/>
    <n v="22.1"/>
    <n v="48.81"/>
    <n v="29.09"/>
    <x v="1"/>
  </r>
  <r>
    <x v="9"/>
    <n v="10"/>
    <n v="31.4"/>
    <n v="42.9"/>
    <n v="25.7"/>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50"/>
    <n v="1393739000"/>
    <n v="24.085999999999999"/>
  </r>
  <r>
    <x v="1"/>
    <n v="50"/>
    <n v="675478000"/>
    <n v="23.02"/>
  </r>
  <r>
    <x v="2"/>
    <n v="50"/>
    <n v="879441000"/>
    <n v="22.276"/>
  </r>
  <r>
    <x v="3"/>
    <n v="50"/>
    <n v="888446000"/>
    <n v="19.382000000000001"/>
  </r>
  <r>
    <x v="4"/>
    <n v="50"/>
    <n v="468754000"/>
    <n v="18.635999999999999"/>
  </r>
  <r>
    <x v="5"/>
    <n v="50"/>
    <n v="5332441000"/>
    <n v="17.51000000000000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Rivers Hospital Phase 3"/>
    <n v="1861586000"/>
    <n v="952091000"/>
    <n v="51.14"/>
    <n v="4"/>
    <x v="0"/>
  </r>
  <r>
    <x v="1"/>
    <s v="Lagos Bridge Phase 2"/>
    <n v="1856416000"/>
    <n v="852499000"/>
    <n v="45.92"/>
    <n v="6"/>
    <x v="1"/>
  </r>
  <r>
    <x v="2"/>
    <s v="Anambra Housing Estate Phase 3"/>
    <n v="1767685000"/>
    <n v="844179000"/>
    <n v="47.76"/>
    <n v="7"/>
    <x v="1"/>
  </r>
  <r>
    <x v="3"/>
    <s v="Kano Erosion Control Phase 2"/>
    <n v="1557483000"/>
    <n v="842805000"/>
    <n v="54.11"/>
    <n v="16"/>
    <x v="1"/>
  </r>
  <r>
    <x v="4"/>
    <s v="Enugu Bridge Phase 1"/>
    <n v="1511481000"/>
    <n v="763991000"/>
    <n v="50.55"/>
    <n v="16"/>
    <x v="1"/>
  </r>
  <r>
    <x v="5"/>
    <s v="Anambra Hospital Phase 3"/>
    <n v="1892849000"/>
    <n v="690155000"/>
    <n v="36.46"/>
    <n v="8"/>
    <x v="1"/>
  </r>
  <r>
    <x v="6"/>
    <s v="Rivers Culvert Phase 3"/>
    <n v="1515965000"/>
    <n v="688123000"/>
    <n v="45.39"/>
    <n v="16"/>
    <x v="1"/>
  </r>
  <r>
    <x v="7"/>
    <s v="Rivers Housing Estate Phase 1"/>
    <n v="1979571000"/>
    <n v="661176000"/>
    <n v="33.4"/>
    <n v="7"/>
    <x v="1"/>
  </r>
  <r>
    <x v="8"/>
    <s v="Rivers Housing Estate Phase 2"/>
    <n v="1968675000"/>
    <n v="623606000"/>
    <n v="31.68"/>
    <n v="5"/>
    <x v="1"/>
  </r>
  <r>
    <x v="9"/>
    <s v=" Edo School Block Phase 2"/>
    <n v="1095645000"/>
    <n v="584931000"/>
    <n v="53.39"/>
    <n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2729D9-472E-4551-91B8-4BAFDE7F0A7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6:B107" firstHeaderRow="1" firstDataRow="1" firstDataCol="0"/>
  <pivotFields count="16">
    <pivotField dataField="1" showAll="0"/>
    <pivotField showAll="0"/>
    <pivotField showAll="0"/>
    <pivotField showAll="0"/>
    <pivotField showAll="0"/>
    <pivotField showAll="0"/>
    <pivotField showAll="0"/>
    <pivotField numFmtId="167" showAll="0"/>
    <pivotField numFmtId="167" showAll="0"/>
    <pivotField numFmtId="167" showAll="0"/>
    <pivotField numFmtId="1" showAll="0"/>
    <pivotField numFmtId="1" showAll="0"/>
    <pivotField numFmtId="1" showAll="0"/>
    <pivotField numFmtId="164" showAll="0"/>
    <pivotField showAll="0"/>
    <pivotField showAll="0"/>
  </pivotFields>
  <rowItems count="1">
    <i/>
  </rowItems>
  <colItems count="1">
    <i/>
  </colItems>
  <dataFields count="1">
    <dataField name="Count of Projec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E707AB-3598-4111-B0F9-123F8F19597A}" name="PivotTable6" cacheId="3" applyNumberFormats="0" applyBorderFormats="0" applyFontFormats="0" applyPatternFormats="0" applyAlignmentFormats="0" applyWidthHeightFormats="1" dataCaption="Values" updatedVersion="8" minRefreshableVersion="3" showDrill="0" itemPrintTitles="1" createdVersion="8" indent="0" showHeaders="0" outline="1" outlineData="1" multipleFieldFilters="0" chartFormat="10">
  <location ref="B46:C57" firstHeaderRow="1" firstDataRow="1" firstDataCol="1" rowPageCount="1" colPageCount="1"/>
  <pivotFields count="6">
    <pivotField axis="axisRow" showAll="0" sortType="ascending">
      <items count="11">
        <item x="1"/>
        <item x="3"/>
        <item x="8"/>
        <item x="0"/>
        <item x="5"/>
        <item x="9"/>
        <item x="6"/>
        <item x="4"/>
        <item x="7"/>
        <item x="2"/>
        <item t="default"/>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dataField="1" numFmtId="165" showAll="0"/>
    <pivotField axis="axisPage" showAll="0">
      <items count="3">
        <item x="0"/>
        <item x="1"/>
        <item t="default"/>
      </items>
    </pivotField>
  </pivotFields>
  <rowFields count="1">
    <field x="0"/>
  </rowFields>
  <rowItems count="11">
    <i>
      <x v="5"/>
    </i>
    <i>
      <x v="2"/>
    </i>
    <i>
      <x v="8"/>
    </i>
    <i>
      <x v="6"/>
    </i>
    <i>
      <x v="4"/>
    </i>
    <i>
      <x v="7"/>
    </i>
    <i>
      <x v="1"/>
    </i>
    <i>
      <x v="9"/>
    </i>
    <i>
      <x/>
    </i>
    <i>
      <x v="3"/>
    </i>
    <i t="grand">
      <x/>
    </i>
  </rowItems>
  <colItems count="1">
    <i/>
  </colItems>
  <pageFields count="1">
    <pageField fld="5" hier="-1"/>
  </pageFields>
  <dataFields count="1">
    <dataField name=" perfom_score %" fld="4" baseField="0" baseItem="0" numFmtId="165"/>
  </dataFields>
  <chartFormats count="22">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7"/>
          </reference>
        </references>
      </pivotArea>
    </chartFormat>
    <chartFormat chart="3" format="3">
      <pivotArea type="data" outline="0" fieldPosition="0">
        <references count="2">
          <reference field="4294967294" count="1" selected="0">
            <x v="0"/>
          </reference>
          <reference field="0" count="1" selected="0">
            <x v="4"/>
          </reference>
        </references>
      </pivotArea>
    </chartFormat>
    <chartFormat chart="3" format="4">
      <pivotArea type="data" outline="0" fieldPosition="0">
        <references count="2">
          <reference field="4294967294" count="1" selected="0">
            <x v="0"/>
          </reference>
          <reference field="0" count="1" selected="0">
            <x v="6"/>
          </reference>
        </references>
      </pivotArea>
    </chartFormat>
    <chartFormat chart="3" format="5">
      <pivotArea type="data" outline="0" fieldPosition="0">
        <references count="2">
          <reference field="4294967294" count="1" selected="0">
            <x v="0"/>
          </reference>
          <reference field="0" count="1" selected="0">
            <x v="8"/>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5"/>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9"/>
          </reference>
        </references>
      </pivotArea>
    </chartFormat>
    <chartFormat chart="3" format="10">
      <pivotArea type="data" outline="0" fieldPosition="0">
        <references count="2">
          <reference field="4294967294" count="1" selected="0">
            <x v="0"/>
          </reference>
          <reference field="0" count="1" selected="0">
            <x v="0"/>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0" count="1" selected="0">
            <x v="1"/>
          </reference>
        </references>
      </pivotArea>
    </chartFormat>
    <chartFormat chart="5" format="21">
      <pivotArea type="data" outline="0" fieldPosition="0">
        <references count="2">
          <reference field="4294967294" count="1" selected="0">
            <x v="0"/>
          </reference>
          <reference field="0" count="1" selected="0">
            <x v="9"/>
          </reference>
        </references>
      </pivotArea>
    </chartFormat>
    <chartFormat chart="5" format="22">
      <pivotArea type="data" outline="0" fieldPosition="0">
        <references count="2">
          <reference field="4294967294" count="1" selected="0">
            <x v="0"/>
          </reference>
          <reference field="0" count="1" selected="0">
            <x v="0"/>
          </reference>
        </references>
      </pivotArea>
    </chartFormat>
    <chartFormat chart="5" format="23">
      <pivotArea type="data" outline="0" fieldPosition="0">
        <references count="2">
          <reference field="4294967294" count="1" selected="0">
            <x v="0"/>
          </reference>
          <reference field="0" count="1" selected="0">
            <x v="3"/>
          </reference>
        </references>
      </pivotArea>
    </chartFormat>
    <chartFormat chart="5" format="24">
      <pivotArea type="data" outline="0" fieldPosition="0">
        <references count="2">
          <reference field="4294967294" count="1" selected="0">
            <x v="0"/>
          </reference>
          <reference field="0" count="1" selected="0">
            <x v="5"/>
          </reference>
        </references>
      </pivotArea>
    </chartFormat>
    <chartFormat chart="5" format="25">
      <pivotArea type="data" outline="0" fieldPosition="0">
        <references count="2">
          <reference field="4294967294" count="1" selected="0">
            <x v="0"/>
          </reference>
          <reference field="0" count="1" selected="0">
            <x v="2"/>
          </reference>
        </references>
      </pivotArea>
    </chartFormat>
    <chartFormat chart="5" format="26">
      <pivotArea type="data" outline="0" fieldPosition="0">
        <references count="2">
          <reference field="4294967294" count="1" selected="0">
            <x v="0"/>
          </reference>
          <reference field="0" count="1" selected="0">
            <x v="8"/>
          </reference>
        </references>
      </pivotArea>
    </chartFormat>
    <chartFormat chart="5" format="27">
      <pivotArea type="data" outline="0" fieldPosition="0">
        <references count="2">
          <reference field="4294967294" count="1" selected="0">
            <x v="0"/>
          </reference>
          <reference field="0" count="1" selected="0">
            <x v="6"/>
          </reference>
        </references>
      </pivotArea>
    </chartFormat>
    <chartFormat chart="5" format="28">
      <pivotArea type="data" outline="0" fieldPosition="0">
        <references count="2">
          <reference field="4294967294" count="1" selected="0">
            <x v="0"/>
          </reference>
          <reference field="0" count="1" selected="0">
            <x v="4"/>
          </reference>
        </references>
      </pivotArea>
    </chartFormat>
    <chartFormat chart="5" format="29">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857059-6708-4C1D-92E8-6E47FD8D03C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6:B117" firstHeaderRow="1" firstDataRow="1" firstDataCol="0"/>
  <pivotFields count="16">
    <pivotField showAll="0"/>
    <pivotField showAll="0"/>
    <pivotField showAll="0"/>
    <pivotField showAll="0"/>
    <pivotField showAll="0"/>
    <pivotField showAll="0"/>
    <pivotField showAll="0"/>
    <pivotField numFmtId="167" showAll="0"/>
    <pivotField numFmtId="167" showAll="0"/>
    <pivotField numFmtId="167" showAll="0"/>
    <pivotField numFmtId="1" showAll="0"/>
    <pivotField numFmtId="1" showAll="0"/>
    <pivotField dataField="1" numFmtId="1" showAll="0"/>
    <pivotField numFmtId="164" showAll="0"/>
    <pivotField showAll="0"/>
    <pivotField showAll="0"/>
  </pivotFields>
  <rowItems count="1">
    <i/>
  </rowItems>
  <colItems count="1">
    <i/>
  </colItems>
  <dataFields count="1">
    <dataField name="Average of Schedule_Delay_Months" fld="12"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EB81AF-91AF-4B79-8B07-47116F81145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1:B112" firstHeaderRow="1" firstDataRow="1" firstDataCol="0"/>
  <pivotFields count="16">
    <pivotField showAll="0"/>
    <pivotField showAll="0"/>
    <pivotField showAll="0"/>
    <pivotField showAll="0"/>
    <pivotField showAll="0"/>
    <pivotField showAll="0"/>
    <pivotField showAll="0"/>
    <pivotField numFmtId="167" showAll="0"/>
    <pivotField numFmtId="167" showAll="0"/>
    <pivotField dataField="1" numFmtId="167" showAll="0"/>
    <pivotField numFmtId="1" showAll="0"/>
    <pivotField numFmtId="1" showAll="0"/>
    <pivotField numFmtId="1" showAll="0"/>
    <pivotField numFmtId="164" showAll="0"/>
    <pivotField showAll="0"/>
    <pivotField showAll="0"/>
  </pivotFields>
  <rowItems count="1">
    <i/>
  </rowItems>
  <colItems count="1">
    <i/>
  </colItems>
  <dataFields count="1">
    <dataField name="Sum of Cost_Overrun_NGN" fld="9"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207938-D673-45A7-9502-A23C5E1280B7}" name="PivotTable3" cacheId="5" applyNumberFormats="0" applyBorderFormats="0" applyFontFormats="0" applyPatternFormats="0" applyAlignmentFormats="0" applyWidthHeightFormats="1" dataCaption="Values" updatedVersion="8" minRefreshableVersion="3" showDrill="0" itemPrintTitles="1" createdVersion="8" indent="0" showHeaders="0" outline="1" outlineData="1" multipleFieldFilters="0" chartFormat="31">
  <location ref="B5:C16" firstHeaderRow="1" firstDataRow="1" firstDataCol="1" rowPageCount="1" colPageCount="1"/>
  <pivotFields count="7">
    <pivotField axis="axisRow" showAll="0" sortType="ascending">
      <items count="11">
        <item x="9"/>
        <item x="3"/>
        <item x="7"/>
        <item x="1"/>
        <item x="0"/>
        <item x="2"/>
        <item x="5"/>
        <item x="4"/>
        <item x="8"/>
        <item x="6"/>
        <item t="default"/>
      </items>
      <autoSortScope>
        <pivotArea dataOnly="0" outline="0" fieldPosition="0">
          <references count="1">
            <reference field="4294967294" count="1" selected="0">
              <x v="0"/>
            </reference>
          </references>
        </pivotArea>
      </autoSortScope>
    </pivotField>
    <pivotField showAll="0"/>
    <pivotField numFmtId="43" showAll="0"/>
    <pivotField numFmtId="43" showAll="0"/>
    <pivotField dataField="1" numFmtId="165" showAll="0"/>
    <pivotField showAll="0"/>
    <pivotField axis="axisPage" showAll="0">
      <items count="3">
        <item x="0"/>
        <item x="1"/>
        <item t="default"/>
      </items>
    </pivotField>
  </pivotFields>
  <rowFields count="1">
    <field x="0"/>
  </rowFields>
  <rowItems count="11">
    <i>
      <x v="8"/>
    </i>
    <i>
      <x v="2"/>
    </i>
    <i>
      <x v="6"/>
    </i>
    <i>
      <x v="9"/>
    </i>
    <i>
      <x v="3"/>
    </i>
    <i>
      <x v="5"/>
    </i>
    <i>
      <x v="7"/>
    </i>
    <i>
      <x v="4"/>
    </i>
    <i>
      <x/>
    </i>
    <i>
      <x v="1"/>
    </i>
    <i t="grand">
      <x/>
    </i>
  </rowItems>
  <colItems count="1">
    <i/>
  </colItems>
  <pageFields count="1">
    <pageField fld="6" hier="-1"/>
  </pageFields>
  <dataFields count="1">
    <dataField name=" overrun_perc" fld="4" baseField="0" baseItem="0" numFmtId="165"/>
  </dataFields>
  <chartFormats count="13">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0" count="1" selected="0">
            <x v="8"/>
          </reference>
        </references>
      </pivotArea>
    </chartFormat>
    <chartFormat chart="14" format="2">
      <pivotArea type="data" outline="0" fieldPosition="0">
        <references count="2">
          <reference field="4294967294" count="1" selected="0">
            <x v="0"/>
          </reference>
          <reference field="0" count="1" selected="0">
            <x v="2"/>
          </reference>
        </references>
      </pivotArea>
    </chartFormat>
    <chartFormat chart="14" format="3">
      <pivotArea type="data" outline="0" fieldPosition="0">
        <references count="2">
          <reference field="4294967294" count="1" selected="0">
            <x v="0"/>
          </reference>
          <reference field="0" count="1" selected="0">
            <x v="6"/>
          </reference>
        </references>
      </pivotArea>
    </chartFormat>
    <chartFormat chart="14" format="4">
      <pivotArea type="data" outline="0" fieldPosition="0">
        <references count="2">
          <reference field="4294967294" count="1" selected="0">
            <x v="0"/>
          </reference>
          <reference field="0" count="1" selected="0">
            <x v="9"/>
          </reference>
        </references>
      </pivotArea>
    </chartFormat>
    <chartFormat chart="14" format="5">
      <pivotArea type="data" outline="0" fieldPosition="0">
        <references count="2">
          <reference field="4294967294" count="1" selected="0">
            <x v="0"/>
          </reference>
          <reference field="0" count="1" selected="0">
            <x v="3"/>
          </reference>
        </references>
      </pivotArea>
    </chartFormat>
    <chartFormat chart="14" format="6">
      <pivotArea type="data" outline="0" fieldPosition="0">
        <references count="2">
          <reference field="4294967294" count="1" selected="0">
            <x v="0"/>
          </reference>
          <reference field="0" count="1" selected="0">
            <x v="5"/>
          </reference>
        </references>
      </pivotArea>
    </chartFormat>
    <chartFormat chart="14" format="7">
      <pivotArea type="data" outline="0" fieldPosition="0">
        <references count="2">
          <reference field="4294967294" count="1" selected="0">
            <x v="0"/>
          </reference>
          <reference field="0" count="1" selected="0">
            <x v="7"/>
          </reference>
        </references>
      </pivotArea>
    </chartFormat>
    <chartFormat chart="14" format="8">
      <pivotArea type="data" outline="0" fieldPosition="0">
        <references count="2">
          <reference field="4294967294" count="1" selected="0">
            <x v="0"/>
          </reference>
          <reference field="0" count="1" selected="0">
            <x v="4"/>
          </reference>
        </references>
      </pivotArea>
    </chartFormat>
    <chartFormat chart="14" format="9">
      <pivotArea type="data" outline="0" fieldPosition="0">
        <references count="2">
          <reference field="4294967294" count="1" selected="0">
            <x v="0"/>
          </reference>
          <reference field="0" count="1" selected="0">
            <x v="0"/>
          </reference>
        </references>
      </pivotArea>
    </chartFormat>
    <chartFormat chart="14" format="10">
      <pivotArea type="data" outline="0" fieldPosition="0">
        <references count="2">
          <reference field="4294967294" count="1" selected="0">
            <x v="0"/>
          </reference>
          <reference field="0" count="1" selected="0">
            <x v="1"/>
          </reference>
        </references>
      </pivotArea>
    </chartFormat>
    <chartFormat chart="22" format="11" series="1">
      <pivotArea type="data" outline="0" fieldPosition="0">
        <references count="1">
          <reference field="4294967294" count="1" selected="0">
            <x v="0"/>
          </reference>
        </references>
      </pivotArea>
    </chartFormat>
    <chartFormat chart="28"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A44E4B-17FF-40A0-B126-71360EEE45E2}" name="PivotTable8" cacheId="1" applyNumberFormats="0" applyBorderFormats="0" applyFontFormats="0" applyPatternFormats="0" applyAlignmentFormats="0" applyWidthHeightFormats="1" dataCaption="Values" updatedVersion="8" minRefreshableVersion="3" showDrill="0" itemPrintTitles="1" createdVersion="8" indent="0" showHeaders="0" outline="1" outlineData="1" multipleFieldFilters="0" chartFormat="10">
  <location ref="B82:C101" firstHeaderRow="1" firstDataRow="1" firstDataCol="1" rowPageCount="1" colPageCount="1"/>
  <pivotFields count="4">
    <pivotField axis="axisRow" showAll="0">
      <items count="19">
        <item x="14"/>
        <item x="3"/>
        <item x="1"/>
        <item x="11"/>
        <item x="0"/>
        <item x="4"/>
        <item x="12"/>
        <item x="15"/>
        <item x="5"/>
        <item x="8"/>
        <item x="16"/>
        <item x="6"/>
        <item x="9"/>
        <item x="17"/>
        <item x="7"/>
        <item x="13"/>
        <item x="10"/>
        <item x="2"/>
        <item t="default"/>
      </items>
    </pivotField>
    <pivotField axis="axisPage" multipleItemSelectionAllowed="1" showAll="0">
      <items count="5">
        <item x="0"/>
        <item x="1"/>
        <item x="2"/>
        <item x="3"/>
        <item t="default"/>
      </items>
    </pivotField>
    <pivotField dataField="1" showAll="0"/>
    <pivotField numFmtId="165" showAl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pageFields count="1">
    <pageField fld="1" hier="-1"/>
  </pageFields>
  <dataFields count="1">
    <dataField name="Count of high_risk_count" fld="2" subtotal="count"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EB5C89-A031-4BB1-A54E-F550E94BB720}" name="PivotTable4" cacheId="4" applyNumberFormats="0" applyBorderFormats="0" applyFontFormats="0" applyPatternFormats="0" applyAlignmentFormats="0" applyWidthHeightFormats="1" dataCaption="Values" updatedVersion="8" minRefreshableVersion="3" showDrill="0" itemPrintTitles="1" createdVersion="8" indent="0" showHeaders="0" outline="1" outlineData="1" multipleFieldFilters="0" chartFormat="46">
  <location ref="B27:C34" firstHeaderRow="1" firstDataRow="1" firstDataCol="1"/>
  <pivotFields count="4">
    <pivotField axis="axisRow" showAll="0" sortType="descending">
      <items count="7">
        <item x="5"/>
        <item x="2"/>
        <item x="4"/>
        <item x="1"/>
        <item x="0"/>
        <item x="3"/>
        <item t="default"/>
      </items>
      <autoSortScope>
        <pivotArea dataOnly="0" outline="0" fieldPosition="0">
          <references count="1">
            <reference field="4294967294" count="1" selected="0">
              <x v="0"/>
            </reference>
          </references>
        </pivotArea>
      </autoSortScope>
    </pivotField>
    <pivotField showAll="0"/>
    <pivotField dataField="1" numFmtId="167" showAll="0"/>
    <pivotField numFmtId="165" showAll="0"/>
  </pivotFields>
  <rowFields count="1">
    <field x="0"/>
  </rowFields>
  <rowItems count="7">
    <i>
      <x/>
    </i>
    <i>
      <x v="4"/>
    </i>
    <i>
      <x v="5"/>
    </i>
    <i>
      <x v="1"/>
    </i>
    <i>
      <x v="3"/>
    </i>
    <i>
      <x v="2"/>
    </i>
    <i t="grand">
      <x/>
    </i>
  </rowItems>
  <colItems count="1">
    <i/>
  </colItems>
  <dataFields count="1">
    <dataField name=" total_phase_overrun_NGN" fld="2" baseField="0" baseItem="0" numFmtId="167"/>
  </dataFields>
  <chartFormats count="3">
    <chartFormat chart="36" format="0" series="1">
      <pivotArea type="data" outline="0" fieldPosition="0">
        <references count="1">
          <reference field="4294967294" count="1" selected="0">
            <x v="0"/>
          </reference>
        </references>
      </pivotArea>
    </chartFormat>
    <chartFormat chart="36" format="1">
      <pivotArea type="data" outline="0" fieldPosition="0">
        <references count="2">
          <reference field="4294967294" count="1" selected="0">
            <x v="0"/>
          </reference>
          <reference field="0" count="1" selected="0">
            <x v="0"/>
          </reference>
        </references>
      </pivotArea>
    </chartFormat>
    <chartFormat chart="4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7DC44E-CEE0-4381-B010-E79753BDC111}" name="PivotTable7"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B66:C70" firstHeaderRow="1" firstDataRow="1" firstDataCol="1" rowPageCount="1" colPageCount="1"/>
  <pivotFields count="13">
    <pivotField dataField="1" showAll="0"/>
    <pivotField showAll="0"/>
    <pivotField showAll="0"/>
    <pivotField numFmtId="167" showAll="0"/>
    <pivotField numFmtId="167" showAll="0"/>
    <pivotField numFmtId="165" showAll="0"/>
    <pivotField showAll="0"/>
    <pivotField showAll="0"/>
    <pivotField numFmtId="165" showAll="0"/>
    <pivotField numFmtId="165" showAll="0"/>
    <pivotField axis="axisPage" showAll="0">
      <items count="3">
        <item x="1"/>
        <item x="0"/>
        <item t="default"/>
      </items>
    </pivotField>
    <pivotField showAll="0"/>
    <pivotField axis="axisRow" showAll="0">
      <items count="4">
        <item x="0"/>
        <item x="2"/>
        <item x="1"/>
        <item t="default"/>
      </items>
    </pivotField>
  </pivotFields>
  <rowFields count="1">
    <field x="12"/>
  </rowFields>
  <rowItems count="4">
    <i>
      <x/>
    </i>
    <i>
      <x v="1"/>
    </i>
    <i>
      <x v="2"/>
    </i>
    <i t="grand">
      <x/>
    </i>
  </rowItems>
  <colItems count="1">
    <i/>
  </colItems>
  <pageFields count="1">
    <pageField fld="10" hier="-1"/>
  </pageFields>
  <dataFields count="1">
    <dataField name="Count of project_id" fld="0" subtotal="count" showDataAs="percentOfTotal" baseField="0" baseItem="0" numFmtId="1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2" count="1" selected="0">
            <x v="0"/>
          </reference>
        </references>
      </pivotArea>
    </chartFormat>
    <chartFormat chart="4" format="10">
      <pivotArea type="data" outline="0" fieldPosition="0">
        <references count="2">
          <reference field="4294967294" count="1" selected="0">
            <x v="0"/>
          </reference>
          <reference field="12" count="1" selected="0">
            <x v="1"/>
          </reference>
        </references>
      </pivotArea>
    </chartFormat>
    <chartFormat chart="4"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8" xr16:uid="{D2EC7B6D-5C04-4937-AA9F-1A0E1848CAB7}" autoFormatId="16" applyNumberFormats="0" applyBorderFormats="0" applyFontFormats="0" applyPatternFormats="0" applyAlignmentFormats="0" applyWidthHeightFormats="0">
  <queryTableRefresh nextId="11">
    <queryTableFields count="7">
      <queryTableField id="1" name="project_id" tableColumnId="1"/>
      <queryTableField id="2" name="project_name" tableColumnId="2"/>
      <queryTableField id="3" name="budget_NGN" tableColumnId="3"/>
      <queryTableField id="4" name="cost_overrun_NGN" tableColumnId="4"/>
      <queryTableField id="5" name="overrun_perc" tableColumnId="5"/>
      <queryTableField id="6" name="sched_delay_months" tableColumnId="6"/>
      <queryTableField id="7" name="statu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7" xr16:uid="{3E024D4D-C1E1-47BD-947C-112BE1816593}" autoFormatId="16" applyNumberFormats="0" applyBorderFormats="0" applyFontFormats="0" applyPatternFormats="0" applyAlignmentFormats="0" applyWidthHeightFormats="0">
  <queryTableRefresh nextId="5">
    <queryTableFields count="4">
      <queryTableField id="1" name="phase" tableColumnId="1"/>
      <queryTableField id="2" name="total_projects" tableColumnId="2"/>
      <queryTableField id="3" name="total_phase_overrun" tableColumnId="3"/>
      <queryTableField id="4" name="avg_overrun_perct"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58C5C3E3-C161-4956-94C9-5B3C63336493}" autoFormatId="16" applyNumberFormats="0" applyBorderFormats="0" applyFontFormats="0" applyPatternFormats="0" applyAlignmentFormats="0" applyWidthHeightFormats="0">
  <queryTableRefresh nextId="7">
    <queryTableFields count="6">
      <queryTableField id="1" name="contractor" tableColumnId="1"/>
      <queryTableField id="2" name="total_project" tableColumnId="2"/>
      <queryTableField id="3" name="avg_cost_overrun_pct" tableColumnId="3"/>
      <queryTableField id="4" name="avg_dur_overrun_perc" tableColumnId="4"/>
      <queryTableField id="5" name="perfom_score" tableColumnId="5"/>
      <queryTableField id="6" name="score_categ"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0" xr16:uid="{E2AAEA4A-3413-4ABD-A144-35AF2EF98DC4}" autoFormatId="16" applyNumberFormats="0" applyBorderFormats="0" applyFontFormats="0" applyPatternFormats="0" applyAlignmentFormats="0" applyWidthHeightFormats="0">
  <queryTableRefresh nextId="14">
    <queryTableFields count="13">
      <queryTableField id="1" name="project_id" tableColumnId="1"/>
      <queryTableField id="2" name="project_name" tableColumnId="2"/>
      <queryTableField id="3" name="contractor" tableColumnId="3"/>
      <queryTableField id="4" name="budget_NGN" tableColumnId="4"/>
      <queryTableField id="5" name="cost_overrun_NGN" tableColumnId="5"/>
      <queryTableField id="6" name="perc_cost_overrun" tableColumnId="6"/>
      <queryTableField id="7" name="planned_dur_months" tableColumnId="7"/>
      <queryTableField id="8" name="sched_delay_months" tableColumnId="8"/>
      <queryTableField id="9" name="perc_dur_overrun" tableColumnId="9"/>
      <queryTableField id="10" name="perct_completed" tableColumnId="10"/>
      <queryTableField id="11" name="status" tableColumnId="11"/>
      <queryTableField id="12" name="risk_score" tableColumnId="12"/>
      <queryTableField id="13" name="risk_variation" tableColumnId="1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6516F7C1-4155-4F4D-9D57-6BE9725BCE1E}" autoFormatId="16" applyNumberFormats="0" applyBorderFormats="0" applyFontFormats="0" applyPatternFormats="0" applyAlignmentFormats="0" applyWidthHeightFormats="0">
  <queryTableRefresh nextId="5">
    <queryTableFields count="4">
      <queryTableField id="1" name="category" tableColumnId="1"/>
      <queryTableField id="2" name="dimension" tableColumnId="2"/>
      <queryTableField id="3" name="high_risk_count" tableColumnId="3"/>
      <queryTableField id="4" name="avg_risk_scor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5D583D5-558B-4E34-A376-06DB491CA2C6}" sourceName="status">
  <pivotTables>
    <pivotTable tabId="13" name="PivotTable3"/>
  </pivotTables>
  <data>
    <tabular pivotCacheId="1645205117">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re_categ" xr10:uid="{A250448D-0AF4-4BFD-8147-EDDBFE1B801F}" sourceName="score_categ">
  <pivotTables>
    <pivotTable tabId="13" name="PivotTable6"/>
  </pivotTables>
  <data>
    <tabular pivotCacheId="1159287582">
      <items count="2">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 xr10:uid="{1678F92B-BF9D-4837-8544-8FE88BA9E9E4}" sourceName="dimension">
  <pivotTables>
    <pivotTable tabId="13" name="PivotTable8"/>
  </pivotTables>
  <data>
    <tabular pivotCacheId="973588296">
      <items count="4">
        <i x="0" s="1"/>
        <i x="1" s="1"/>
        <i x="2" s="1"/>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1B407176-171C-4112-9E76-1A364A65FD21}" cache="Slicer_status" columnCount="2" style="SlicerStyleDark6 2" lockedPosition="1" rowHeight="241300"/>
  <slicer name="score_categ" xr10:uid="{0451F317-9204-481B-8DED-671B9C4080CA}" cache="Slicer_score_categ" columnCount="2" style="SlicerStyleDark6 2" lockedPosition="1" rowHeight="241300"/>
  <slicer name="dimension" xr10:uid="{E75451EE-355F-459B-8425-A485834345F7}" cache="Slicer_dimension" columnCount="2" style="SlicerStyleDark6 2" lockedPosition="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F04259A-9F95-49B6-BD93-490A8CDC03E7}" name="projects_overrun" displayName="projects_overrun" ref="B6:H16" tableType="queryTable" totalsRowShown="0">
  <autoFilter ref="B6:H16" xr:uid="{3F04259A-9F95-49B6-BD93-490A8CDC03E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DF58626-85D7-415B-BEDA-BE22092EF360}" uniqueName="1" name="project_id" queryTableFieldId="1" dataDxfId="94"/>
    <tableColumn id="2" xr3:uid="{1EA0A362-2BAC-423E-947B-72F3919D9B59}" uniqueName="2" name="project_name" queryTableFieldId="2" dataDxfId="93"/>
    <tableColumn id="3" xr3:uid="{EA0FECA0-2C3E-4F75-9836-63F74B5E3389}" uniqueName="3" name="budget_NGN" queryTableFieldId="3" dataCellStyle="Comma"/>
    <tableColumn id="4" xr3:uid="{495FDF10-6B15-43C5-B500-C4C06881E7CA}" uniqueName="4" name="cost_overrun_NGN" queryTableFieldId="4" dataCellStyle="Comma"/>
    <tableColumn id="5" xr3:uid="{D401252B-3337-4DFE-98AC-2A9B4E09BAF4}" uniqueName="5" name="overrun_perc" queryTableFieldId="5" dataDxfId="92" dataCellStyle="Percent"/>
    <tableColumn id="6" xr3:uid="{CC03D038-AB00-49DD-875F-EB7099915E45}" uniqueName="6" name="sched_delay_months" queryTableFieldId="6" dataDxfId="91"/>
    <tableColumn id="7" xr3:uid="{94F88964-8C95-42BE-A575-FE6A536964E4}" uniqueName="7" name="status" queryTableFieldId="7" dataDxfId="9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AEFEE42-B55D-47F7-B28B-0EC6F55F0B5A}" name="phases_overrun__2" displayName="phases_overrun__2" ref="B7:E13" tableType="queryTable" totalsRowShown="0">
  <autoFilter ref="B7:E13" xr:uid="{DAEFEE42-B55D-47F7-B28B-0EC6F55F0B5A}">
    <filterColumn colId="0" hiddenButton="1"/>
    <filterColumn colId="1" hiddenButton="1"/>
    <filterColumn colId="2" hiddenButton="1"/>
    <filterColumn colId="3" hiddenButton="1"/>
  </autoFilter>
  <tableColumns count="4">
    <tableColumn id="1" xr3:uid="{B0F0CCB2-FA14-4031-A942-B0DEFF0BD114}" uniqueName="1" name="phase" queryTableFieldId="1" dataDxfId="89"/>
    <tableColumn id="2" xr3:uid="{BCFC40D4-ACF1-4E4E-954F-AF0F6D7E9FFE}" uniqueName="2" name="total_projects" queryTableFieldId="2" dataDxfId="88"/>
    <tableColumn id="3" xr3:uid="{C08C7D27-7ACF-405B-9EE4-BAAE7B9049C3}" uniqueName="3" name="total_phase_overrun" queryTableFieldId="3" dataDxfId="87" dataCellStyle="Comma"/>
    <tableColumn id="4" xr3:uid="{E816A25A-DDC4-4D30-95BD-6E34CFF3E3A9}" uniqueName="4" name="avg_overrun_perct" queryTableFieldId="4" dataDxfId="86"/>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0A57370-04B4-4A49-AD31-718B57B57283}" name="contractor_s_perform" displayName="contractor_s_perform" ref="B7:G17" tableType="queryTable" totalsRowShown="0">
  <autoFilter ref="B7:G17" xr:uid="{60A57370-04B4-4A49-AD31-718B57B57283}">
    <filterColumn colId="0" hiddenButton="1"/>
    <filterColumn colId="1" hiddenButton="1"/>
    <filterColumn colId="2" hiddenButton="1"/>
    <filterColumn colId="3" hiddenButton="1"/>
    <filterColumn colId="4" hiddenButton="1"/>
    <filterColumn colId="5" hiddenButton="1"/>
  </autoFilter>
  <tableColumns count="6">
    <tableColumn id="1" xr3:uid="{209460BA-5149-4445-A122-F00E20A3D270}" uniqueName="1" name="contractor" queryTableFieldId="1" dataDxfId="85"/>
    <tableColumn id="2" xr3:uid="{0C220FDA-2605-4421-8551-50C0D875CBBB}" uniqueName="2" name="total_project" queryTableFieldId="2" dataDxfId="84"/>
    <tableColumn id="3" xr3:uid="{5FCC34B1-E5E2-4B01-977D-9312A4B87600}" uniqueName="3" name="avg_cost_overrun_pct" queryTableFieldId="3" dataDxfId="83"/>
    <tableColumn id="4" xr3:uid="{E2F48725-A52E-4D4F-9ACD-AD62EDAA62E7}" uniqueName="4" name="avg_dur_overrun_perc" queryTableFieldId="4" dataDxfId="82"/>
    <tableColumn id="5" xr3:uid="{F8E520A8-CA29-42B0-8D10-AE88D15C1C9C}" uniqueName="5" name="perfom_score" queryTableFieldId="5" dataDxfId="81"/>
    <tableColumn id="6" xr3:uid="{933F474E-3580-4E60-8FEA-DB963CF98091}" uniqueName="6" name="score_categ" queryTableFieldId="6" dataDxfId="80"/>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06C989B-3060-4031-AEAD-1AD368613B99}" name="risks_flag" displayName="risks_flag" ref="B4:N53" tableType="queryTable" totalsRowShown="0" headerRowDxfId="79">
  <autoFilter ref="B4:N53" xr:uid="{406C989B-3060-4031-AEAD-1AD368613B9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1FC8C81B-7273-4E9F-B19C-D4CF72C070DB}" uniqueName="1" name="project_id" queryTableFieldId="1" dataDxfId="78"/>
    <tableColumn id="2" xr3:uid="{EDEBE658-5E6A-4AD8-8422-094654ECE060}" uniqueName="2" name="project_name" queryTableFieldId="2" dataDxfId="77"/>
    <tableColumn id="3" xr3:uid="{0981C859-C447-4E8C-946F-7B1A8D71654F}" uniqueName="3" name="contractor" queryTableFieldId="3" dataDxfId="76"/>
    <tableColumn id="4" xr3:uid="{E03545EE-9A15-49CF-8B4E-2EB560F8121F}" uniqueName="4" name="budget_NGN" queryTableFieldId="4" dataDxfId="75" dataCellStyle="Comma"/>
    <tableColumn id="5" xr3:uid="{C0091064-0AF1-4242-B8E4-AC6767856F00}" uniqueName="5" name="cost_overrun_NGN" queryTableFieldId="5" dataDxfId="74" dataCellStyle="Comma"/>
    <tableColumn id="6" xr3:uid="{E864ECB5-DF72-4A78-8931-5D69E256613B}" uniqueName="6" name="perc_cost_overrun" queryTableFieldId="6" dataDxfId="73"/>
    <tableColumn id="7" xr3:uid="{FA0B7ECC-AC66-403B-AE74-056BC6681B53}" uniqueName="7" name="planned_dur_months" queryTableFieldId="7" dataDxfId="72"/>
    <tableColumn id="8" xr3:uid="{4826201D-59E0-4248-A878-27A5D35CC924}" uniqueName="8" name="sched_delay_months" queryTableFieldId="8" dataDxfId="71"/>
    <tableColumn id="9" xr3:uid="{ABBA1369-B948-4758-8AD6-D4AA3490D34E}" uniqueName="9" name="perc_dur_overrun" queryTableFieldId="9" dataDxfId="70"/>
    <tableColumn id="10" xr3:uid="{44501342-BA43-448B-86A3-A02F868193E3}" uniqueName="10" name="perct_completed" queryTableFieldId="10" dataDxfId="69"/>
    <tableColumn id="11" xr3:uid="{CAC6A45B-EF70-4497-9D58-5E1793ECE032}" uniqueName="11" name="status" queryTableFieldId="11" dataDxfId="68"/>
    <tableColumn id="12" xr3:uid="{0658BE3B-E64D-4203-9689-96FB8C01D976}" uniqueName="12" name="risk_score" queryTableFieldId="12" dataDxfId="67"/>
    <tableColumn id="13" xr3:uid="{73C3CF3C-2EB1-43FA-A1D0-D03C513EF45E}" uniqueName="13" name="risk_variation" queryTableFieldId="13" dataDxfId="66"/>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34AA707-B0B2-45BE-8F6D-40D1E8A97706}" name="improv__areas" displayName="improv__areas" ref="B6:E24" tableType="queryTable" totalsRowShown="0" headerRowDxfId="65">
  <autoFilter ref="B6:E24" xr:uid="{934AA707-B0B2-45BE-8F6D-40D1E8A97706}">
    <filterColumn colId="0" hiddenButton="1"/>
    <filterColumn colId="1" hiddenButton="1"/>
    <filterColumn colId="2" hiddenButton="1"/>
    <filterColumn colId="3" hiddenButton="1"/>
  </autoFilter>
  <tableColumns count="4">
    <tableColumn id="1" xr3:uid="{CC5EC5F0-C832-4A99-8514-497BAF1DE3D9}" uniqueName="1" name="category" queryTableFieldId="1" dataDxfId="64"/>
    <tableColumn id="2" xr3:uid="{93EE78BB-1749-444D-B641-2D4522F81AD9}" uniqueName="2" name="dimension" queryTableFieldId="2" dataDxfId="63"/>
    <tableColumn id="3" xr3:uid="{6409C88D-4ACA-4579-A3AD-12A9CEF1CDDC}" uniqueName="3" name="high_risk_count" queryTableFieldId="3" dataDxfId="62"/>
    <tableColumn id="4" xr3:uid="{14307821-C39B-40C8-A254-438F62D8CF41}" uniqueName="4" name="avg_risk_score" queryTableFieldId="4" dataDxfId="61"/>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97FDE5-C384-4CC4-B7AA-106E155E0E2D}" name="Table1" displayName="Table1" ref="A1:P52" totalsRowCount="1" headerRowDxfId="60" dataDxfId="58" headerRowBorderDxfId="59" tableBorderDxfId="57" totalsRowBorderDxfId="56">
  <autoFilter ref="A1:P51" xr:uid="{7B97FDE5-C384-4CC4-B7AA-106E155E0E2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FE190AF-4BFD-4E26-94DE-73E1CC4C07D0}" name="Project_ID" totalsRowLabel="Total" dataDxfId="55" totalsRowDxfId="54"/>
    <tableColumn id="2" xr3:uid="{EEF86DB0-7D0F-4863-B711-6B4001011BE1}" name="Project_Name" totalsRowFunction="count" dataDxfId="53" totalsRowDxfId="52"/>
    <tableColumn id="3" xr3:uid="{6A02070E-87FC-46B8-AA68-E73896ACBCC9}" name="Project_Type" dataDxfId="51" totalsRowDxfId="50"/>
    <tableColumn id="4" xr3:uid="{C52769F8-3C7A-4217-B08B-11E18598BA18}" name="State" dataDxfId="49" totalsRowDxfId="48"/>
    <tableColumn id="5" xr3:uid="{6151FEB4-C44C-42B1-8360-809D6CFDDB32}" name="Contractor" dataDxfId="47" totalsRowDxfId="46"/>
    <tableColumn id="6" xr3:uid="{89445B90-430B-4795-9D44-622DEA708079}" name="Consultant" dataDxfId="45" totalsRowDxfId="44"/>
    <tableColumn id="7" xr3:uid="{3F34F332-7F21-4FEF-9FAD-8726271009EA}" name="Year_Start" dataDxfId="43" totalsRowDxfId="42"/>
    <tableColumn id="8" xr3:uid="{2BD744CA-3AD6-4C80-BF28-6386EAA48A29}" name="Budget_NGN" dataDxfId="41" totalsRowDxfId="40" dataCellStyle="Comma"/>
    <tableColumn id="9" xr3:uid="{C45B7E88-644E-49E5-8C79-E8DFA1E5DF72}" name="Actual_Cost_NGN" dataDxfId="39" totalsRowDxfId="38" dataCellStyle="Comma"/>
    <tableColumn id="10" xr3:uid="{2B39CF3B-5232-4572-A2D2-C65FD7015AF4}" name="Cost_Overrun_NGN" totalsRowFunction="sum" dataDxfId="37" totalsRowDxfId="36" dataCellStyle="Comma"/>
    <tableColumn id="11" xr3:uid="{51305C55-F35B-41C3-8785-9D1E043A88A9}" name="Planned_Duration_Months" dataDxfId="35" totalsRowDxfId="34"/>
    <tableColumn id="12" xr3:uid="{4E49DA55-4C81-455F-8B7E-7AC9924F1E0B}" name="Actual_Duration_Months" dataDxfId="33" totalsRowDxfId="32"/>
    <tableColumn id="13" xr3:uid="{B79FA9A9-8346-48C5-80F5-6E544D16976C}" name="Schedule_Delay_Months" totalsRowFunction="average" dataDxfId="31" totalsRowDxfId="30"/>
    <tableColumn id="14" xr3:uid="{76179B80-37C0-42BD-9301-A5A31F38E60B}" name="Pct_Complete" dataDxfId="29" totalsRowDxfId="28"/>
    <tableColumn id="15" xr3:uid="{A03BE216-4E7F-4172-A368-7F290F915FE1}" name="Primary_Delay_Reason" dataDxfId="27" totalsRowDxfId="26"/>
    <tableColumn id="16" xr3:uid="{C591954F-C2E4-4204-8A21-BCD8B29C47AA}" name="Status" totalsRowFunction="count" dataDxfId="25" totalsRowDxfId="24"/>
  </tableColumns>
  <tableStyleInfo name="TableStyleLight9"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7039E6-2798-42DE-AD9B-208E740F38FB}" name="Table2" displayName="Table2" ref="A1:F301" totalsRowShown="0" headerRowDxfId="23" headerRowBorderDxfId="22" tableBorderDxfId="21" totalsRowBorderDxfId="20">
  <autoFilter ref="A1:F301" xr:uid="{0A7039E6-2798-42DE-AD9B-208E740F38FB}">
    <filterColumn colId="0" hiddenButton="1"/>
    <filterColumn colId="1" hiddenButton="1"/>
    <filterColumn colId="2" hiddenButton="1"/>
    <filterColumn colId="3" hiddenButton="1"/>
    <filterColumn colId="4" hiddenButton="1"/>
    <filterColumn colId="5" hiddenButton="1"/>
  </autoFilter>
  <tableColumns count="6">
    <tableColumn id="1" xr3:uid="{23ECD5B2-F79F-4569-B893-01CD40B15816}" name="Project_ID" dataDxfId="19"/>
    <tableColumn id="2" xr3:uid="{A3AFDCA6-2184-4C7E-A696-21013C378402}" name="Phase" dataDxfId="18"/>
    <tableColumn id="3" xr3:uid="{91990B9D-41D7-459E-993D-0601E711DEBD}" name="Phase_Budget_NGN" dataDxfId="17"/>
    <tableColumn id="4" xr3:uid="{7FB74AA5-8F27-4151-B46B-E83695ED5014}" name="Phase_Actual_NGN" dataDxfId="16"/>
    <tableColumn id="5" xr3:uid="{4BCB518C-BA2A-4E86-8FD3-AC4CA8F44C42}" name="Phase_Overrun_NGN" dataDxfId="15"/>
    <tableColumn id="6" xr3:uid="{614AB105-54A6-409A-A6FB-E8ADC1AD5482}" name="Phase_Overrun_Pct" dataDxfId="14"/>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B7E407-C26C-44DB-8A5D-EC1248B6F668}" name="Table3" displayName="Table3" ref="A1:I11" totalsRowShown="0" headerRowDxfId="13" dataDxfId="11" headerRowBorderDxfId="12" tableBorderDxfId="10" totalsRowBorderDxfId="9">
  <autoFilter ref="A1:I11" xr:uid="{30B7E407-C26C-44DB-8A5D-EC1248B6F66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FBC2D17-59D0-408D-85BC-6D7009F8A20F}" name="Contractor" dataDxfId="8"/>
    <tableColumn id="2" xr3:uid="{2822E0AE-6AAF-4AFE-A14A-2D9F39BEEBFD}" name="Projects_Handled" dataDxfId="7"/>
    <tableColumn id="3" xr3:uid="{37807745-3F67-4239-BB95-D9D7A66C4672}" name="Total_Budget_NGN" dataDxfId="6"/>
    <tableColumn id="4" xr3:uid="{BFBFFF40-2F91-4348-83B5-F70B75567B59}" name="Total_Actual_NGN" dataDxfId="5"/>
    <tableColumn id="5" xr3:uid="{230EA4CC-7768-48EC-A51C-40D704F3AD61}" name="Avg_Cost_Overrun_Pct" dataDxfId="4"/>
    <tableColumn id="6" xr3:uid="{D9A66BBE-E02D-499E-A13D-8F6F477B68AB}" name="Avg_Planned_Duration" dataDxfId="3"/>
    <tableColumn id="7" xr3:uid="{F7160BAC-542C-48D1-AD81-3893B7B78EFB}" name="Avg_Actual_Duration" dataDxfId="2"/>
    <tableColumn id="8" xr3:uid="{269D6BC1-FF34-4575-8AD9-1AFE02742EED}" name="Delay_Rate_Pct" dataDxfId="1"/>
    <tableColumn id="9" xr3:uid="{DAC511D3-A4CA-4B04-9E99-D9087E560083}" name="Performance_Score" dataDxfId="0">
      <calculatedColumnFormula>MAX(0,MIN(100,100-E2-H2))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9B8D3-96FD-4484-9CF3-55091F878F7B}">
  <dimension ref="S8"/>
  <sheetViews>
    <sheetView showGridLines="0" showRowColHeaders="0" tabSelected="1" zoomScale="81" zoomScaleNormal="81" workbookViewId="0">
      <selection activeCell="S9" sqref="S9"/>
    </sheetView>
  </sheetViews>
  <sheetFormatPr defaultRowHeight="14.5" x14ac:dyDescent="0.35"/>
  <cols>
    <col min="1" max="16384" width="8.7265625" style="65"/>
  </cols>
  <sheetData>
    <row r="8" spans="19:19" x14ac:dyDescent="0.35">
      <c r="S8" s="85"/>
    </row>
  </sheetData>
  <sheetProtection algorithmName="SHA-512" hashValue="twnkfyChm0gQUqEQp3Ho9qQM7CTYrI1qBR/UaI/q73LwjB1uykQ7zUfL3bmZpt96wwLKlRIOb/811sS0k5sepg==" saltValue="wq6BnrvUWLFSQJSPdSPdoQ=="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5824B-BE93-46EC-97CA-6E5F66531978}">
  <dimension ref="B1:E117"/>
  <sheetViews>
    <sheetView showGridLines="0" zoomScaleNormal="100" workbookViewId="0">
      <selection activeCell="J52" sqref="J52"/>
    </sheetView>
  </sheetViews>
  <sheetFormatPr defaultRowHeight="14.5" x14ac:dyDescent="0.35"/>
  <cols>
    <col min="2" max="2" width="17.54296875" bestFit="1" customWidth="1"/>
    <col min="3" max="3" width="24" bestFit="1" customWidth="1"/>
    <col min="4" max="4" width="14.90625" bestFit="1" customWidth="1"/>
    <col min="5" max="5" width="11.26953125" bestFit="1" customWidth="1"/>
    <col min="6" max="6" width="5.1796875" bestFit="1" customWidth="1"/>
    <col min="7" max="7" width="10.7265625" bestFit="1" customWidth="1"/>
    <col min="8" max="12" width="16.36328125" bestFit="1" customWidth="1"/>
    <col min="13" max="13" width="12" bestFit="1" customWidth="1"/>
  </cols>
  <sheetData>
    <row r="1" spans="2:5" x14ac:dyDescent="0.35">
      <c r="B1" s="91" t="s">
        <v>269</v>
      </c>
      <c r="C1" s="92"/>
      <c r="D1" s="92"/>
      <c r="E1" s="92"/>
    </row>
    <row r="2" spans="2:5" x14ac:dyDescent="0.35">
      <c r="B2" s="92"/>
      <c r="C2" s="92"/>
      <c r="D2" s="92"/>
      <c r="E2" s="92"/>
    </row>
    <row r="3" spans="2:5" x14ac:dyDescent="0.35">
      <c r="B3" s="73" t="s">
        <v>251</v>
      </c>
      <c r="C3" t="s">
        <v>268</v>
      </c>
    </row>
    <row r="5" spans="2:5" x14ac:dyDescent="0.35">
      <c r="C5" t="s">
        <v>272</v>
      </c>
    </row>
    <row r="6" spans="2:5" x14ac:dyDescent="0.35">
      <c r="B6" s="74" t="s">
        <v>159</v>
      </c>
      <c r="C6" s="75">
        <v>31.68</v>
      </c>
    </row>
    <row r="7" spans="2:5" x14ac:dyDescent="0.35">
      <c r="B7" s="74" t="s">
        <v>68</v>
      </c>
      <c r="C7" s="75">
        <v>33.4</v>
      </c>
    </row>
    <row r="8" spans="2:5" x14ac:dyDescent="0.35">
      <c r="B8" s="74" t="s">
        <v>138</v>
      </c>
      <c r="C8" s="75">
        <v>36.46</v>
      </c>
    </row>
    <row r="9" spans="2:5" x14ac:dyDescent="0.35">
      <c r="B9" s="74" t="s">
        <v>166</v>
      </c>
      <c r="C9" s="75">
        <v>45.39</v>
      </c>
    </row>
    <row r="10" spans="2:5" x14ac:dyDescent="0.35">
      <c r="B10" s="74" t="s">
        <v>115</v>
      </c>
      <c r="C10" s="75">
        <v>45.92</v>
      </c>
    </row>
    <row r="11" spans="2:5" x14ac:dyDescent="0.35">
      <c r="B11" s="74" t="s">
        <v>129</v>
      </c>
      <c r="C11" s="75">
        <v>47.76</v>
      </c>
    </row>
    <row r="12" spans="2:5" x14ac:dyDescent="0.35">
      <c r="B12" s="74" t="s">
        <v>143</v>
      </c>
      <c r="C12" s="75">
        <v>50.55</v>
      </c>
    </row>
    <row r="13" spans="2:5" x14ac:dyDescent="0.35">
      <c r="B13" s="74" t="s">
        <v>127</v>
      </c>
      <c r="C13" s="75">
        <v>51.14</v>
      </c>
    </row>
    <row r="14" spans="2:5" x14ac:dyDescent="0.35">
      <c r="B14" s="74" t="s">
        <v>54</v>
      </c>
      <c r="C14" s="75">
        <v>53.39</v>
      </c>
    </row>
    <row r="15" spans="2:5" x14ac:dyDescent="0.35">
      <c r="B15" s="74" t="s">
        <v>59</v>
      </c>
      <c r="C15" s="75">
        <v>54.11</v>
      </c>
    </row>
    <row r="16" spans="2:5" x14ac:dyDescent="0.35">
      <c r="B16" s="74" t="s">
        <v>267</v>
      </c>
      <c r="C16" s="75">
        <v>449.79999999999995</v>
      </c>
    </row>
    <row r="23" spans="2:5" x14ac:dyDescent="0.35">
      <c r="B23" s="91" t="s">
        <v>263</v>
      </c>
      <c r="C23" s="92"/>
      <c r="D23" s="92"/>
      <c r="E23" s="92"/>
    </row>
    <row r="24" spans="2:5" x14ac:dyDescent="0.35">
      <c r="B24" s="92"/>
      <c r="C24" s="92"/>
      <c r="D24" s="92"/>
      <c r="E24" s="92"/>
    </row>
    <row r="27" spans="2:5" x14ac:dyDescent="0.35">
      <c r="C27" t="s">
        <v>273</v>
      </c>
    </row>
    <row r="28" spans="2:5" x14ac:dyDescent="0.35">
      <c r="B28" s="74" t="s">
        <v>186</v>
      </c>
      <c r="C28" s="76">
        <v>5332441000</v>
      </c>
    </row>
    <row r="29" spans="2:5" x14ac:dyDescent="0.35">
      <c r="B29" s="74" t="s">
        <v>184</v>
      </c>
      <c r="C29" s="76">
        <v>1393739000</v>
      </c>
    </row>
    <row r="30" spans="2:5" x14ac:dyDescent="0.35">
      <c r="B30" s="74" t="s">
        <v>187</v>
      </c>
      <c r="C30" s="76">
        <v>888446000</v>
      </c>
    </row>
    <row r="31" spans="2:5" x14ac:dyDescent="0.35">
      <c r="B31" s="74" t="s">
        <v>183</v>
      </c>
      <c r="C31" s="76">
        <v>879441000</v>
      </c>
    </row>
    <row r="32" spans="2:5" x14ac:dyDescent="0.35">
      <c r="B32" s="74" t="s">
        <v>185</v>
      </c>
      <c r="C32" s="76">
        <v>675478000</v>
      </c>
    </row>
    <row r="33" spans="2:5" x14ac:dyDescent="0.35">
      <c r="B33" s="74" t="s">
        <v>188</v>
      </c>
      <c r="C33" s="76">
        <v>468754000</v>
      </c>
    </row>
    <row r="34" spans="2:5" x14ac:dyDescent="0.35">
      <c r="B34" s="74" t="s">
        <v>267</v>
      </c>
      <c r="C34" s="76">
        <v>9638299000</v>
      </c>
    </row>
    <row r="41" spans="2:5" x14ac:dyDescent="0.35">
      <c r="B41" s="91" t="s">
        <v>264</v>
      </c>
      <c r="C41" s="92"/>
      <c r="D41" s="92"/>
      <c r="E41" s="92"/>
    </row>
    <row r="42" spans="2:5" x14ac:dyDescent="0.35">
      <c r="B42" s="92"/>
      <c r="C42" s="92"/>
      <c r="D42" s="92"/>
      <c r="E42" s="92"/>
    </row>
    <row r="44" spans="2:5" x14ac:dyDescent="0.35">
      <c r="B44" s="73" t="s">
        <v>256</v>
      </c>
      <c r="C44" t="s">
        <v>268</v>
      </c>
    </row>
    <row r="46" spans="2:5" x14ac:dyDescent="0.35">
      <c r="C46" t="s">
        <v>274</v>
      </c>
    </row>
    <row r="47" spans="2:5" x14ac:dyDescent="0.35">
      <c r="B47" s="74" t="s">
        <v>110</v>
      </c>
      <c r="C47" s="75">
        <v>25.7</v>
      </c>
    </row>
    <row r="48" spans="2:5" x14ac:dyDescent="0.35">
      <c r="B48" s="74" t="s">
        <v>142</v>
      </c>
      <c r="C48" s="75">
        <v>29.09</v>
      </c>
    </row>
    <row r="49" spans="2:5" x14ac:dyDescent="0.35">
      <c r="B49" s="74" t="s">
        <v>37</v>
      </c>
      <c r="C49" s="75">
        <v>29.82</v>
      </c>
    </row>
    <row r="50" spans="2:5" x14ac:dyDescent="0.35">
      <c r="B50" s="74" t="s">
        <v>89</v>
      </c>
      <c r="C50" s="75">
        <v>30.85</v>
      </c>
    </row>
    <row r="51" spans="2:5" x14ac:dyDescent="0.35">
      <c r="B51" s="74" t="s">
        <v>71</v>
      </c>
      <c r="C51" s="75">
        <v>32.44</v>
      </c>
    </row>
    <row r="52" spans="2:5" x14ac:dyDescent="0.35">
      <c r="B52" s="74" t="s">
        <v>66</v>
      </c>
      <c r="C52" s="75">
        <v>33.83</v>
      </c>
    </row>
    <row r="53" spans="2:5" x14ac:dyDescent="0.35">
      <c r="B53" s="74" t="s">
        <v>62</v>
      </c>
      <c r="C53" s="75">
        <v>36.49</v>
      </c>
    </row>
    <row r="54" spans="2:5" x14ac:dyDescent="0.35">
      <c r="B54" s="74" t="s">
        <v>122</v>
      </c>
      <c r="C54" s="75">
        <v>36.79</v>
      </c>
    </row>
    <row r="55" spans="2:5" x14ac:dyDescent="0.35">
      <c r="B55" s="74" t="s">
        <v>44</v>
      </c>
      <c r="C55" s="75">
        <v>52.07</v>
      </c>
    </row>
    <row r="56" spans="2:5" x14ac:dyDescent="0.35">
      <c r="B56" s="74" t="s">
        <v>51</v>
      </c>
      <c r="C56" s="75">
        <v>53.04</v>
      </c>
    </row>
    <row r="57" spans="2:5" x14ac:dyDescent="0.35">
      <c r="B57" s="74" t="s">
        <v>267</v>
      </c>
      <c r="C57" s="75">
        <v>360.12</v>
      </c>
    </row>
    <row r="62" spans="2:5" x14ac:dyDescent="0.35">
      <c r="B62" s="91" t="s">
        <v>265</v>
      </c>
      <c r="C62" s="92"/>
      <c r="D62" s="92"/>
      <c r="E62" s="92"/>
    </row>
    <row r="63" spans="2:5" x14ac:dyDescent="0.35">
      <c r="B63" s="92"/>
      <c r="C63" s="92"/>
      <c r="D63" s="92"/>
      <c r="E63" s="92"/>
    </row>
    <row r="64" spans="2:5" x14ac:dyDescent="0.35">
      <c r="B64" s="73" t="s">
        <v>251</v>
      </c>
      <c r="C64" t="s">
        <v>268</v>
      </c>
    </row>
    <row r="66" spans="2:5" x14ac:dyDescent="0.35">
      <c r="B66" s="73" t="s">
        <v>271</v>
      </c>
      <c r="C66" t="s">
        <v>275</v>
      </c>
    </row>
    <row r="67" spans="2:5" x14ac:dyDescent="0.35">
      <c r="B67" s="74" t="s">
        <v>242</v>
      </c>
      <c r="C67" s="77">
        <v>0.12244897959183673</v>
      </c>
    </row>
    <row r="68" spans="2:5" x14ac:dyDescent="0.35">
      <c r="B68" s="74" t="s">
        <v>244</v>
      </c>
      <c r="C68" s="77">
        <v>0.14285714285714285</v>
      </c>
    </row>
    <row r="69" spans="2:5" x14ac:dyDescent="0.35">
      <c r="B69" s="74" t="s">
        <v>243</v>
      </c>
      <c r="C69" s="77">
        <v>0.73469387755102045</v>
      </c>
    </row>
    <row r="70" spans="2:5" x14ac:dyDescent="0.35">
      <c r="B70" s="74" t="s">
        <v>267</v>
      </c>
      <c r="C70" s="77">
        <v>1</v>
      </c>
    </row>
    <row r="78" spans="2:5" x14ac:dyDescent="0.35">
      <c r="B78" s="91" t="s">
        <v>266</v>
      </c>
      <c r="C78" s="92"/>
      <c r="D78" s="92"/>
      <c r="E78" s="92"/>
    </row>
    <row r="79" spans="2:5" x14ac:dyDescent="0.35">
      <c r="B79" s="92"/>
      <c r="C79" s="92"/>
      <c r="D79" s="92"/>
      <c r="E79" s="92"/>
    </row>
    <row r="80" spans="2:5" x14ac:dyDescent="0.35">
      <c r="B80" s="73" t="s">
        <v>260</v>
      </c>
      <c r="C80" t="s">
        <v>268</v>
      </c>
    </row>
    <row r="82" spans="2:3" x14ac:dyDescent="0.35">
      <c r="C82" t="s">
        <v>277</v>
      </c>
    </row>
    <row r="83" spans="2:3" x14ac:dyDescent="0.35">
      <c r="B83" s="74" t="s">
        <v>93</v>
      </c>
      <c r="C83" s="98">
        <v>1</v>
      </c>
    </row>
    <row r="84" spans="2:3" x14ac:dyDescent="0.35">
      <c r="B84" s="74" t="s">
        <v>102</v>
      </c>
      <c r="C84" s="98">
        <v>1</v>
      </c>
    </row>
    <row r="85" spans="2:3" x14ac:dyDescent="0.35">
      <c r="B85" s="74" t="s">
        <v>58</v>
      </c>
      <c r="C85" s="98">
        <v>1</v>
      </c>
    </row>
    <row r="86" spans="2:3" x14ac:dyDescent="0.35">
      <c r="B86" s="74" t="s">
        <v>35</v>
      </c>
      <c r="C86" s="98">
        <v>1</v>
      </c>
    </row>
    <row r="87" spans="2:3" x14ac:dyDescent="0.35">
      <c r="B87" s="74" t="s">
        <v>72</v>
      </c>
      <c r="C87" s="98">
        <v>1</v>
      </c>
    </row>
    <row r="88" spans="2:3" x14ac:dyDescent="0.35">
      <c r="B88" s="74" t="s">
        <v>76</v>
      </c>
      <c r="C88" s="98">
        <v>1</v>
      </c>
    </row>
    <row r="89" spans="2:3" x14ac:dyDescent="0.35">
      <c r="B89" s="74" t="s">
        <v>79</v>
      </c>
      <c r="C89" s="98">
        <v>1</v>
      </c>
    </row>
    <row r="90" spans="2:3" x14ac:dyDescent="0.35">
      <c r="B90" s="74" t="s">
        <v>88</v>
      </c>
      <c r="C90" s="98">
        <v>1</v>
      </c>
    </row>
    <row r="91" spans="2:3" x14ac:dyDescent="0.35">
      <c r="B91" s="74" t="s">
        <v>63</v>
      </c>
      <c r="C91" s="98">
        <v>1</v>
      </c>
    </row>
    <row r="92" spans="2:3" x14ac:dyDescent="0.35">
      <c r="B92" s="74" t="s">
        <v>83</v>
      </c>
      <c r="C92" s="98">
        <v>1</v>
      </c>
    </row>
    <row r="93" spans="2:3" x14ac:dyDescent="0.35">
      <c r="B93" s="74" t="s">
        <v>75</v>
      </c>
      <c r="C93" s="98">
        <v>1</v>
      </c>
    </row>
    <row r="94" spans="2:3" x14ac:dyDescent="0.35">
      <c r="B94" s="74" t="s">
        <v>97</v>
      </c>
      <c r="C94" s="98">
        <v>1</v>
      </c>
    </row>
    <row r="95" spans="2:3" x14ac:dyDescent="0.35">
      <c r="B95" s="74" t="s">
        <v>61</v>
      </c>
      <c r="C95" s="98">
        <v>1</v>
      </c>
    </row>
    <row r="96" spans="2:3" x14ac:dyDescent="0.35">
      <c r="B96" s="74" t="s">
        <v>43</v>
      </c>
      <c r="C96" s="98">
        <v>1</v>
      </c>
    </row>
    <row r="97" spans="2:3" x14ac:dyDescent="0.35">
      <c r="B97" s="74" t="s">
        <v>67</v>
      </c>
      <c r="C97" s="98">
        <v>1</v>
      </c>
    </row>
    <row r="98" spans="2:3" x14ac:dyDescent="0.35">
      <c r="B98" s="74" t="s">
        <v>50</v>
      </c>
      <c r="C98" s="98">
        <v>1</v>
      </c>
    </row>
    <row r="99" spans="2:3" x14ac:dyDescent="0.35">
      <c r="B99" s="74" t="s">
        <v>56</v>
      </c>
      <c r="C99" s="98">
        <v>1</v>
      </c>
    </row>
    <row r="100" spans="2:3" x14ac:dyDescent="0.35">
      <c r="B100" s="74" t="s">
        <v>45</v>
      </c>
      <c r="C100" s="98">
        <v>1</v>
      </c>
    </row>
    <row r="101" spans="2:3" x14ac:dyDescent="0.35">
      <c r="B101" s="74" t="s">
        <v>267</v>
      </c>
      <c r="C101" s="98">
        <v>18</v>
      </c>
    </row>
    <row r="106" spans="2:3" x14ac:dyDescent="0.35">
      <c r="B106" t="s">
        <v>279</v>
      </c>
    </row>
    <row r="107" spans="2:3" x14ac:dyDescent="0.35">
      <c r="B107">
        <v>50</v>
      </c>
    </row>
    <row r="111" spans="2:3" x14ac:dyDescent="0.35">
      <c r="B111" t="s">
        <v>280</v>
      </c>
    </row>
    <row r="112" spans="2:3" x14ac:dyDescent="0.35">
      <c r="B112" s="76">
        <v>15082331000</v>
      </c>
    </row>
    <row r="116" spans="2:2" x14ac:dyDescent="0.35">
      <c r="B116" t="s">
        <v>281</v>
      </c>
    </row>
    <row r="117" spans="2:2" x14ac:dyDescent="0.35">
      <c r="B117" s="79">
        <v>10.44</v>
      </c>
    </row>
  </sheetData>
  <mergeCells count="5">
    <mergeCell ref="B1:E2"/>
    <mergeCell ref="B23:E24"/>
    <mergeCell ref="B41:E42"/>
    <mergeCell ref="B62:E63"/>
    <mergeCell ref="B78:E79"/>
  </mergeCells>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B5EEF-5605-4F9C-B5F3-2357E07BC3E8}">
  <dimension ref="A3:H16"/>
  <sheetViews>
    <sheetView workbookViewId="0">
      <selection activeCell="J5" sqref="J5"/>
    </sheetView>
  </sheetViews>
  <sheetFormatPr defaultColWidth="11.7265625" defaultRowHeight="14.5" x14ac:dyDescent="0.35"/>
  <cols>
    <col min="1" max="1" width="3.54296875" style="66" bestFit="1" customWidth="1"/>
    <col min="2" max="2" width="13.90625" bestFit="1" customWidth="1"/>
    <col min="3" max="3" width="28.453125" bestFit="1" customWidth="1"/>
    <col min="4" max="4" width="16.36328125" bestFit="1" customWidth="1"/>
    <col min="5" max="5" width="21.36328125" bestFit="1" customWidth="1"/>
    <col min="6" max="6" width="16.6328125" bestFit="1" customWidth="1"/>
    <col min="7" max="7" width="23.26953125" bestFit="1" customWidth="1"/>
    <col min="8" max="8" width="10.54296875" bestFit="1" customWidth="1"/>
  </cols>
  <sheetData>
    <row r="3" spans="1:8" x14ac:dyDescent="0.35">
      <c r="C3" s="91" t="s">
        <v>262</v>
      </c>
      <c r="D3" s="92"/>
      <c r="E3" s="92"/>
      <c r="F3" s="92"/>
    </row>
    <row r="4" spans="1:8" x14ac:dyDescent="0.35">
      <c r="C4" s="92"/>
      <c r="D4" s="92"/>
      <c r="E4" s="92"/>
      <c r="F4" s="92"/>
    </row>
    <row r="6" spans="1:8" x14ac:dyDescent="0.35">
      <c r="A6" s="78" t="s">
        <v>278</v>
      </c>
      <c r="B6" s="66" t="s">
        <v>239</v>
      </c>
      <c r="C6" s="66" t="s">
        <v>247</v>
      </c>
      <c r="D6" s="66" t="s">
        <v>248</v>
      </c>
      <c r="E6" s="66" t="s">
        <v>249</v>
      </c>
      <c r="F6" s="66" t="s">
        <v>270</v>
      </c>
      <c r="G6" s="67" t="s">
        <v>250</v>
      </c>
      <c r="H6" s="66" t="s">
        <v>251</v>
      </c>
    </row>
    <row r="7" spans="1:8" x14ac:dyDescent="0.35">
      <c r="A7" s="66" cm="1">
        <f t="array" ref="A7:A16">_xlfn.SEQUENCE(10,,1)</f>
        <v>1</v>
      </c>
      <c r="B7" t="s">
        <v>127</v>
      </c>
      <c r="C7" t="s">
        <v>128</v>
      </c>
      <c r="D7" s="69">
        <v>1861586000</v>
      </c>
      <c r="E7" s="69">
        <v>952091000</v>
      </c>
      <c r="F7" s="87">
        <v>51.14</v>
      </c>
      <c r="G7" s="66">
        <v>4</v>
      </c>
      <c r="H7" t="s">
        <v>90</v>
      </c>
    </row>
    <row r="8" spans="1:8" x14ac:dyDescent="0.35">
      <c r="A8" s="66">
        <v>2</v>
      </c>
      <c r="B8" t="s">
        <v>115</v>
      </c>
      <c r="C8" t="s">
        <v>116</v>
      </c>
      <c r="D8" s="69">
        <v>1856416000</v>
      </c>
      <c r="E8" s="69">
        <v>852499000</v>
      </c>
      <c r="F8" s="87">
        <v>45.92</v>
      </c>
      <c r="G8" s="66">
        <v>6</v>
      </c>
      <c r="H8" t="s">
        <v>40</v>
      </c>
    </row>
    <row r="9" spans="1:8" x14ac:dyDescent="0.35">
      <c r="A9" s="66">
        <v>3</v>
      </c>
      <c r="B9" t="s">
        <v>129</v>
      </c>
      <c r="C9" t="s">
        <v>130</v>
      </c>
      <c r="D9" s="69">
        <v>1767685000</v>
      </c>
      <c r="E9" s="69">
        <v>844179000</v>
      </c>
      <c r="F9" s="87">
        <v>47.76</v>
      </c>
      <c r="G9" s="66">
        <v>7</v>
      </c>
      <c r="H9" t="s">
        <v>40</v>
      </c>
    </row>
    <row r="10" spans="1:8" x14ac:dyDescent="0.35">
      <c r="A10" s="66">
        <v>4</v>
      </c>
      <c r="B10" t="s">
        <v>59</v>
      </c>
      <c r="C10" t="s">
        <v>60</v>
      </c>
      <c r="D10" s="69">
        <v>1557483000</v>
      </c>
      <c r="E10" s="69">
        <v>842805000</v>
      </c>
      <c r="F10" s="87">
        <v>54.11</v>
      </c>
      <c r="G10" s="66">
        <v>16</v>
      </c>
      <c r="H10" t="s">
        <v>40</v>
      </c>
    </row>
    <row r="11" spans="1:8" x14ac:dyDescent="0.35">
      <c r="A11" s="66">
        <v>5</v>
      </c>
      <c r="B11" t="s">
        <v>143</v>
      </c>
      <c r="C11" t="s">
        <v>144</v>
      </c>
      <c r="D11" s="69">
        <v>1511481000</v>
      </c>
      <c r="E11" s="69">
        <v>763991000</v>
      </c>
      <c r="F11" s="87">
        <v>50.55</v>
      </c>
      <c r="G11" s="66">
        <v>16</v>
      </c>
      <c r="H11" t="s">
        <v>40</v>
      </c>
    </row>
    <row r="12" spans="1:8" x14ac:dyDescent="0.35">
      <c r="A12" s="66">
        <v>6</v>
      </c>
      <c r="B12" t="s">
        <v>138</v>
      </c>
      <c r="C12" t="s">
        <v>139</v>
      </c>
      <c r="D12" s="69">
        <v>1892849000</v>
      </c>
      <c r="E12" s="69">
        <v>690155000</v>
      </c>
      <c r="F12" s="87">
        <v>36.46</v>
      </c>
      <c r="G12" s="66">
        <v>8</v>
      </c>
      <c r="H12" t="s">
        <v>40</v>
      </c>
    </row>
    <row r="13" spans="1:8" x14ac:dyDescent="0.35">
      <c r="A13" s="66">
        <v>7</v>
      </c>
      <c r="B13" t="s">
        <v>166</v>
      </c>
      <c r="C13" t="s">
        <v>167</v>
      </c>
      <c r="D13" s="69">
        <v>1515965000</v>
      </c>
      <c r="E13" s="69">
        <v>688123000</v>
      </c>
      <c r="F13" s="87">
        <v>45.39</v>
      </c>
      <c r="G13" s="66">
        <v>16</v>
      </c>
      <c r="H13" t="s">
        <v>40</v>
      </c>
    </row>
    <row r="14" spans="1:8" x14ac:dyDescent="0.35">
      <c r="A14" s="66">
        <v>8</v>
      </c>
      <c r="B14" t="s">
        <v>68</v>
      </c>
      <c r="C14" t="s">
        <v>69</v>
      </c>
      <c r="D14" s="69">
        <v>1979571000</v>
      </c>
      <c r="E14" s="69">
        <v>661176000</v>
      </c>
      <c r="F14" s="87">
        <v>33.4</v>
      </c>
      <c r="G14" s="66">
        <v>7</v>
      </c>
      <c r="H14" t="s">
        <v>40</v>
      </c>
    </row>
    <row r="15" spans="1:8" x14ac:dyDescent="0.35">
      <c r="A15" s="66">
        <v>9</v>
      </c>
      <c r="B15" t="s">
        <v>159</v>
      </c>
      <c r="C15" t="s">
        <v>160</v>
      </c>
      <c r="D15" s="69">
        <v>1968675000</v>
      </c>
      <c r="E15" s="69">
        <v>623606000</v>
      </c>
      <c r="F15" s="87">
        <v>31.68</v>
      </c>
      <c r="G15" s="66">
        <v>5</v>
      </c>
      <c r="H15" t="s">
        <v>40</v>
      </c>
    </row>
    <row r="16" spans="1:8" x14ac:dyDescent="0.35">
      <c r="A16" s="66">
        <v>10</v>
      </c>
      <c r="B16" t="s">
        <v>54</v>
      </c>
      <c r="C16" t="s">
        <v>55</v>
      </c>
      <c r="D16" s="69">
        <v>1095645000</v>
      </c>
      <c r="E16" s="69">
        <v>584931000</v>
      </c>
      <c r="F16" s="87">
        <v>53.39</v>
      </c>
      <c r="G16" s="66">
        <v>2</v>
      </c>
      <c r="H16" t="s">
        <v>40</v>
      </c>
    </row>
  </sheetData>
  <sheetProtection algorithmName="SHA-512" hashValue="MKTQwLaPz4BzfH4UQoC4H6lIPToG4QF69IqfUh2THsGuZwCKn+UB0o2oJj7zNYcPgiluJWXokvUzCCtRzHtKPg==" saltValue="s2nedd2dTAzR9tCJKUqEfQ==" spinCount="100000" sheet="1" objects="1" scenarios="1"/>
  <mergeCells count="1">
    <mergeCell ref="C3:F4"/>
  </mergeCells>
  <phoneticPr fontId="1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02A6F-29DA-42B8-8E8E-D1392E857C7A}">
  <dimension ref="A4:E13"/>
  <sheetViews>
    <sheetView workbookViewId="0">
      <selection activeCell="G8" sqref="G8"/>
    </sheetView>
  </sheetViews>
  <sheetFormatPr defaultRowHeight="14.5" x14ac:dyDescent="0.35"/>
  <cols>
    <col min="1" max="1" width="3.54296875" style="66" bestFit="1" customWidth="1"/>
    <col min="2" max="2" width="21.90625" bestFit="1" customWidth="1"/>
    <col min="3" max="3" width="14.90625" bestFit="1" customWidth="1"/>
    <col min="4" max="4" width="20.90625" bestFit="1" customWidth="1"/>
    <col min="5" max="5" width="19" bestFit="1" customWidth="1"/>
  </cols>
  <sheetData>
    <row r="4" spans="1:5" x14ac:dyDescent="0.35">
      <c r="B4" s="91" t="s">
        <v>263</v>
      </c>
      <c r="C4" s="92"/>
      <c r="D4" s="92"/>
      <c r="E4" s="92"/>
    </row>
    <row r="5" spans="1:5" x14ac:dyDescent="0.35">
      <c r="B5" s="92"/>
      <c r="C5" s="92"/>
      <c r="D5" s="92"/>
      <c r="E5" s="92"/>
    </row>
    <row r="7" spans="1:5" x14ac:dyDescent="0.35">
      <c r="A7" s="78" t="s">
        <v>278</v>
      </c>
      <c r="B7" s="66" t="s">
        <v>252</v>
      </c>
      <c r="C7" t="s">
        <v>253</v>
      </c>
      <c r="D7" t="s">
        <v>284</v>
      </c>
      <c r="E7" t="s">
        <v>285</v>
      </c>
    </row>
    <row r="8" spans="1:5" x14ac:dyDescent="0.35">
      <c r="A8" s="66">
        <v>1</v>
      </c>
      <c r="B8" t="s">
        <v>184</v>
      </c>
      <c r="C8" s="66">
        <v>50</v>
      </c>
      <c r="D8" s="70">
        <v>1393739000</v>
      </c>
      <c r="E8" s="86">
        <v>24.085999999999999</v>
      </c>
    </row>
    <row r="9" spans="1:5" x14ac:dyDescent="0.35">
      <c r="A9" s="66">
        <v>2</v>
      </c>
      <c r="B9" t="s">
        <v>185</v>
      </c>
      <c r="C9" s="66">
        <v>50</v>
      </c>
      <c r="D9" s="70">
        <v>675478000</v>
      </c>
      <c r="E9" s="86">
        <v>23.02</v>
      </c>
    </row>
    <row r="10" spans="1:5" x14ac:dyDescent="0.35">
      <c r="A10" s="66">
        <v>3</v>
      </c>
      <c r="B10" t="s">
        <v>183</v>
      </c>
      <c r="C10" s="66">
        <v>50</v>
      </c>
      <c r="D10" s="70">
        <v>879441000</v>
      </c>
      <c r="E10" s="86">
        <v>22.276</v>
      </c>
    </row>
    <row r="11" spans="1:5" x14ac:dyDescent="0.35">
      <c r="A11" s="66">
        <v>4</v>
      </c>
      <c r="B11" t="s">
        <v>187</v>
      </c>
      <c r="C11" s="66">
        <v>50</v>
      </c>
      <c r="D11" s="70">
        <v>888446000</v>
      </c>
      <c r="E11" s="86">
        <v>19.382000000000001</v>
      </c>
    </row>
    <row r="12" spans="1:5" x14ac:dyDescent="0.35">
      <c r="A12" s="66">
        <v>5</v>
      </c>
      <c r="B12" t="s">
        <v>188</v>
      </c>
      <c r="C12" s="66">
        <v>50</v>
      </c>
      <c r="D12" s="70">
        <v>468754000</v>
      </c>
      <c r="E12" s="86">
        <v>18.635999999999999</v>
      </c>
    </row>
    <row r="13" spans="1:5" x14ac:dyDescent="0.35">
      <c r="A13" s="66">
        <v>6</v>
      </c>
      <c r="B13" t="s">
        <v>186</v>
      </c>
      <c r="C13" s="66">
        <v>50</v>
      </c>
      <c r="D13" s="70">
        <v>5332441000</v>
      </c>
      <c r="E13" s="86">
        <v>17.510000000000002</v>
      </c>
    </row>
  </sheetData>
  <sheetProtection algorithmName="SHA-512" hashValue="6aNu2mjFSChpqkGiu4x7t2QidvImd+UMm26u9sBw/c/W+QIAwHWsEJB69kWaJq7aVgKa6hOxgr1Mo+zKmHOn+A==" saltValue="3Fd/60lSsYL+n0Om4RDafA==" spinCount="100000" sheet="1" objects="1" scenarios="1"/>
  <mergeCells count="1">
    <mergeCell ref="B4:E5"/>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C88D3-0C85-4FAC-88B4-0D016C05AEB2}">
  <dimension ref="A4:G17"/>
  <sheetViews>
    <sheetView workbookViewId="0">
      <selection activeCell="J5" sqref="J5"/>
    </sheetView>
  </sheetViews>
  <sheetFormatPr defaultRowHeight="14.5" x14ac:dyDescent="0.35"/>
  <cols>
    <col min="1" max="1" width="3.54296875" style="66" bestFit="1" customWidth="1"/>
    <col min="2" max="2" width="18.1796875" bestFit="1" customWidth="1"/>
    <col min="3" max="3" width="16.36328125" bestFit="1" customWidth="1"/>
    <col min="4" max="4" width="24.08984375" bestFit="1" customWidth="1"/>
    <col min="5" max="5" width="24.54296875" bestFit="1" customWidth="1"/>
    <col min="6" max="6" width="17" bestFit="1" customWidth="1"/>
    <col min="7" max="7" width="15.26953125" bestFit="1" customWidth="1"/>
  </cols>
  <sheetData>
    <row r="4" spans="1:7" x14ac:dyDescent="0.35">
      <c r="C4" s="91" t="s">
        <v>264</v>
      </c>
      <c r="D4" s="92"/>
      <c r="E4" s="92"/>
      <c r="F4" s="92"/>
    </row>
    <row r="5" spans="1:7" x14ac:dyDescent="0.35">
      <c r="C5" s="92"/>
      <c r="D5" s="92"/>
      <c r="E5" s="92"/>
      <c r="F5" s="92"/>
    </row>
    <row r="7" spans="1:7" x14ac:dyDescent="0.35">
      <c r="A7" s="78" t="s">
        <v>278</v>
      </c>
      <c r="B7" s="66" t="s">
        <v>254</v>
      </c>
      <c r="C7" s="66" t="s">
        <v>255</v>
      </c>
      <c r="D7" s="66" t="s">
        <v>286</v>
      </c>
      <c r="E7" s="66" t="s">
        <v>287</v>
      </c>
      <c r="F7" s="66" t="s">
        <v>288</v>
      </c>
      <c r="G7" s="66" t="s">
        <v>256</v>
      </c>
    </row>
    <row r="8" spans="1:7" x14ac:dyDescent="0.35">
      <c r="A8" s="66" cm="1">
        <f t="array" ref="A8:A17">_xlfn.SEQUENCE(10,,1)</f>
        <v>1</v>
      </c>
      <c r="B8" t="s">
        <v>51</v>
      </c>
      <c r="C8" s="66">
        <v>6</v>
      </c>
      <c r="D8" s="86">
        <v>18.8</v>
      </c>
      <c r="E8" s="86">
        <v>28.16</v>
      </c>
      <c r="F8" s="86">
        <v>53.04</v>
      </c>
      <c r="G8" t="s">
        <v>240</v>
      </c>
    </row>
    <row r="9" spans="1:7" x14ac:dyDescent="0.35">
      <c r="A9" s="66">
        <v>2</v>
      </c>
      <c r="B9" t="s">
        <v>44</v>
      </c>
      <c r="C9" s="66">
        <v>2</v>
      </c>
      <c r="D9" s="86">
        <v>21.6</v>
      </c>
      <c r="E9" s="86">
        <v>26.33</v>
      </c>
      <c r="F9" s="86">
        <v>52.07</v>
      </c>
      <c r="G9" t="s">
        <v>240</v>
      </c>
    </row>
    <row r="10" spans="1:7" x14ac:dyDescent="0.35">
      <c r="A10" s="66">
        <v>3</v>
      </c>
      <c r="B10" t="s">
        <v>122</v>
      </c>
      <c r="C10" s="66">
        <v>4</v>
      </c>
      <c r="D10" s="86">
        <v>33.200000000000003</v>
      </c>
      <c r="E10" s="86">
        <v>30.01</v>
      </c>
      <c r="F10" s="86">
        <v>36.79</v>
      </c>
      <c r="G10" t="s">
        <v>240</v>
      </c>
    </row>
    <row r="11" spans="1:7" x14ac:dyDescent="0.35">
      <c r="A11" s="66">
        <v>4</v>
      </c>
      <c r="B11" t="s">
        <v>62</v>
      </c>
      <c r="C11" s="66">
        <v>6</v>
      </c>
      <c r="D11" s="86">
        <v>32.9</v>
      </c>
      <c r="E11" s="86">
        <v>30.61</v>
      </c>
      <c r="F11" s="86">
        <v>36.49</v>
      </c>
      <c r="G11" t="s">
        <v>240</v>
      </c>
    </row>
    <row r="12" spans="1:7" x14ac:dyDescent="0.35">
      <c r="A12" s="66">
        <v>5</v>
      </c>
      <c r="B12" t="s">
        <v>66</v>
      </c>
      <c r="C12" s="66">
        <v>4</v>
      </c>
      <c r="D12" s="86">
        <v>21.2</v>
      </c>
      <c r="E12" s="86">
        <v>44.97</v>
      </c>
      <c r="F12" s="86">
        <v>33.83</v>
      </c>
      <c r="G12" t="s">
        <v>241</v>
      </c>
    </row>
    <row r="13" spans="1:7" x14ac:dyDescent="0.35">
      <c r="A13" s="66">
        <v>6</v>
      </c>
      <c r="B13" t="s">
        <v>71</v>
      </c>
      <c r="C13" s="66">
        <v>5</v>
      </c>
      <c r="D13" s="86">
        <v>28</v>
      </c>
      <c r="E13" s="86">
        <v>39.56</v>
      </c>
      <c r="F13" s="86">
        <v>32.44</v>
      </c>
      <c r="G13" t="s">
        <v>241</v>
      </c>
    </row>
    <row r="14" spans="1:7" x14ac:dyDescent="0.35">
      <c r="A14" s="66">
        <v>7</v>
      </c>
      <c r="B14" t="s">
        <v>89</v>
      </c>
      <c r="C14" s="66">
        <v>3</v>
      </c>
      <c r="D14" s="86">
        <v>19.100000000000001</v>
      </c>
      <c r="E14" s="86">
        <v>50.05</v>
      </c>
      <c r="F14" s="86">
        <v>30.85</v>
      </c>
      <c r="G14" t="s">
        <v>241</v>
      </c>
    </row>
    <row r="15" spans="1:7" x14ac:dyDescent="0.35">
      <c r="A15" s="66">
        <v>8</v>
      </c>
      <c r="B15" t="s">
        <v>37</v>
      </c>
      <c r="C15" s="66">
        <v>8</v>
      </c>
      <c r="D15" s="86">
        <v>42.5</v>
      </c>
      <c r="E15" s="86">
        <v>27.68</v>
      </c>
      <c r="F15" s="86">
        <v>29.82</v>
      </c>
      <c r="G15" t="s">
        <v>241</v>
      </c>
    </row>
    <row r="16" spans="1:7" x14ac:dyDescent="0.35">
      <c r="A16" s="66">
        <v>9</v>
      </c>
      <c r="B16" t="s">
        <v>142</v>
      </c>
      <c r="C16" s="66">
        <v>2</v>
      </c>
      <c r="D16" s="86">
        <v>22.1</v>
      </c>
      <c r="E16" s="86">
        <v>48.81</v>
      </c>
      <c r="F16" s="86">
        <v>29.09</v>
      </c>
      <c r="G16" t="s">
        <v>241</v>
      </c>
    </row>
    <row r="17" spans="1:7" x14ac:dyDescent="0.35">
      <c r="A17" s="66">
        <v>10</v>
      </c>
      <c r="B17" t="s">
        <v>110</v>
      </c>
      <c r="C17" s="66">
        <v>10</v>
      </c>
      <c r="D17" s="86">
        <v>31.4</v>
      </c>
      <c r="E17" s="86">
        <v>42.9</v>
      </c>
      <c r="F17" s="86">
        <v>25.7</v>
      </c>
      <c r="G17" t="s">
        <v>241</v>
      </c>
    </row>
  </sheetData>
  <sheetProtection algorithmName="SHA-512" hashValue="5iJAGVMeZGcxhCocTO3xDmttBfMKRD+j/5boxHWkPL/9nrF2MmA6T4CHB8ohNFlRpvObP/zBcS/xnkpQezLQkA==" saltValue="Map3Q7LM+/PPOW40rRqGaw==" spinCount="100000" sheet="1" objects="1" scenarios="1"/>
  <mergeCells count="1">
    <mergeCell ref="C4:F5"/>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19792-89CC-4DDF-85AF-1E1F117A0DDE}">
  <dimension ref="A1:N53"/>
  <sheetViews>
    <sheetView workbookViewId="0">
      <selection activeCell="K2" sqref="K2"/>
    </sheetView>
  </sheetViews>
  <sheetFormatPr defaultRowHeight="14.5" x14ac:dyDescent="0.35"/>
  <cols>
    <col min="1" max="1" width="3.54296875" style="66" bestFit="1" customWidth="1"/>
    <col min="2" max="2" width="13.90625" bestFit="1" customWidth="1"/>
    <col min="3" max="3" width="35.36328125" bestFit="1" customWidth="1"/>
    <col min="4" max="4" width="18.1796875" bestFit="1" customWidth="1"/>
    <col min="5" max="5" width="16.08984375" bestFit="1" customWidth="1"/>
    <col min="6" max="6" width="21.36328125" bestFit="1" customWidth="1"/>
    <col min="7" max="7" width="21.1796875" bestFit="1" customWidth="1"/>
    <col min="8" max="8" width="23.7265625" bestFit="1" customWidth="1"/>
    <col min="9" max="9" width="23.26953125" bestFit="1" customWidth="1"/>
    <col min="10" max="10" width="20.6328125" bestFit="1" customWidth="1"/>
    <col min="11" max="11" width="19.7265625" bestFit="1" customWidth="1"/>
    <col min="12" max="12" width="10.54296875" bestFit="1" customWidth="1"/>
    <col min="13" max="13" width="13.81640625" bestFit="1" customWidth="1"/>
    <col min="14" max="14" width="16.81640625" bestFit="1" customWidth="1"/>
  </cols>
  <sheetData>
    <row r="1" spans="1:14" x14ac:dyDescent="0.35">
      <c r="C1" s="91" t="s">
        <v>265</v>
      </c>
      <c r="D1" s="92"/>
      <c r="E1" s="92"/>
      <c r="F1" s="92"/>
    </row>
    <row r="2" spans="1:14" x14ac:dyDescent="0.35">
      <c r="C2" s="92"/>
      <c r="D2" s="92"/>
      <c r="E2" s="92"/>
      <c r="F2" s="92"/>
    </row>
    <row r="4" spans="1:14" x14ac:dyDescent="0.35">
      <c r="A4" s="78" t="s">
        <v>278</v>
      </c>
      <c r="B4" s="66" t="s">
        <v>239</v>
      </c>
      <c r="C4" s="66" t="s">
        <v>247</v>
      </c>
      <c r="D4" s="66" t="s">
        <v>254</v>
      </c>
      <c r="E4" s="68" t="s">
        <v>248</v>
      </c>
      <c r="F4" s="68" t="s">
        <v>249</v>
      </c>
      <c r="G4" s="66" t="s">
        <v>289</v>
      </c>
      <c r="H4" s="66" t="s">
        <v>257</v>
      </c>
      <c r="I4" s="66" t="s">
        <v>250</v>
      </c>
      <c r="J4" s="66" t="s">
        <v>290</v>
      </c>
      <c r="K4" s="66" t="s">
        <v>291</v>
      </c>
      <c r="L4" s="66" t="s">
        <v>251</v>
      </c>
      <c r="M4" s="66" t="s">
        <v>292</v>
      </c>
      <c r="N4" s="66" t="s">
        <v>258</v>
      </c>
    </row>
    <row r="5" spans="1:14" x14ac:dyDescent="0.35">
      <c r="A5" s="66" cm="1">
        <f t="array" ref="A5:A53">_xlfn.SEQUENCE(49,,1)</f>
        <v>1</v>
      </c>
      <c r="B5" t="s">
        <v>91</v>
      </c>
      <c r="C5" t="s">
        <v>92</v>
      </c>
      <c r="D5" t="s">
        <v>37</v>
      </c>
      <c r="E5" s="70">
        <v>934761000</v>
      </c>
      <c r="F5" s="70">
        <v>488216000</v>
      </c>
      <c r="G5" s="86">
        <v>52.23</v>
      </c>
      <c r="H5" s="66">
        <v>28</v>
      </c>
      <c r="I5" s="66">
        <v>19</v>
      </c>
      <c r="J5" s="86">
        <v>67.86</v>
      </c>
      <c r="K5" s="86">
        <v>52</v>
      </c>
      <c r="L5" t="s">
        <v>40</v>
      </c>
      <c r="M5" s="66">
        <v>60.05</v>
      </c>
      <c r="N5" t="s">
        <v>242</v>
      </c>
    </row>
    <row r="6" spans="1:14" x14ac:dyDescent="0.35">
      <c r="A6" s="66">
        <v>2</v>
      </c>
      <c r="B6" t="s">
        <v>59</v>
      </c>
      <c r="C6" t="s">
        <v>60</v>
      </c>
      <c r="D6" t="s">
        <v>62</v>
      </c>
      <c r="E6" s="70">
        <v>1557483000</v>
      </c>
      <c r="F6" s="70">
        <v>842805000</v>
      </c>
      <c r="G6" s="86">
        <v>54.11</v>
      </c>
      <c r="H6" s="66">
        <v>26</v>
      </c>
      <c r="I6" s="66">
        <v>16</v>
      </c>
      <c r="J6" s="86">
        <v>61.54</v>
      </c>
      <c r="K6" s="86">
        <v>78</v>
      </c>
      <c r="L6" t="s">
        <v>40</v>
      </c>
      <c r="M6" s="66">
        <v>57.83</v>
      </c>
      <c r="N6" t="s">
        <v>242</v>
      </c>
    </row>
    <row r="7" spans="1:14" x14ac:dyDescent="0.35">
      <c r="A7" s="66">
        <v>3</v>
      </c>
      <c r="B7" t="s">
        <v>140</v>
      </c>
      <c r="C7" t="s">
        <v>141</v>
      </c>
      <c r="D7" t="s">
        <v>142</v>
      </c>
      <c r="E7" s="70">
        <v>761070000</v>
      </c>
      <c r="F7" s="70">
        <v>388034000</v>
      </c>
      <c r="G7" s="86">
        <v>50.99</v>
      </c>
      <c r="H7" s="66">
        <v>14</v>
      </c>
      <c r="I7" s="66">
        <v>9</v>
      </c>
      <c r="J7" s="86">
        <v>64.290000000000006</v>
      </c>
      <c r="K7" s="86">
        <v>56</v>
      </c>
      <c r="L7" t="s">
        <v>40</v>
      </c>
      <c r="M7" s="66">
        <v>57.64</v>
      </c>
      <c r="N7" t="s">
        <v>242</v>
      </c>
    </row>
    <row r="8" spans="1:14" x14ac:dyDescent="0.35">
      <c r="A8" s="66">
        <v>4</v>
      </c>
      <c r="B8" t="s">
        <v>100</v>
      </c>
      <c r="C8" t="s">
        <v>101</v>
      </c>
      <c r="D8" t="s">
        <v>71</v>
      </c>
      <c r="E8" s="70">
        <v>566860000</v>
      </c>
      <c r="F8" s="70">
        <v>268385000</v>
      </c>
      <c r="G8" s="86">
        <v>47.35</v>
      </c>
      <c r="H8" s="66">
        <v>39</v>
      </c>
      <c r="I8" s="66">
        <v>26</v>
      </c>
      <c r="J8" s="86">
        <v>66.67</v>
      </c>
      <c r="K8" s="86">
        <v>99</v>
      </c>
      <c r="L8" t="s">
        <v>40</v>
      </c>
      <c r="M8" s="66">
        <v>57.01</v>
      </c>
      <c r="N8" t="s">
        <v>242</v>
      </c>
    </row>
    <row r="9" spans="1:14" x14ac:dyDescent="0.35">
      <c r="A9" s="66">
        <v>5</v>
      </c>
      <c r="B9" t="s">
        <v>143</v>
      </c>
      <c r="C9" t="s">
        <v>144</v>
      </c>
      <c r="D9" t="s">
        <v>110</v>
      </c>
      <c r="E9" s="70">
        <v>1511481000</v>
      </c>
      <c r="F9" s="70">
        <v>763991000</v>
      </c>
      <c r="G9" s="86">
        <v>50.55</v>
      </c>
      <c r="H9" s="66">
        <v>27</v>
      </c>
      <c r="I9" s="66">
        <v>16</v>
      </c>
      <c r="J9" s="86">
        <v>59.26</v>
      </c>
      <c r="K9" s="86">
        <v>52</v>
      </c>
      <c r="L9" t="s">
        <v>40</v>
      </c>
      <c r="M9" s="66">
        <v>54.91</v>
      </c>
      <c r="N9" t="s">
        <v>242</v>
      </c>
    </row>
    <row r="10" spans="1:14" x14ac:dyDescent="0.35">
      <c r="A10" s="66">
        <v>6</v>
      </c>
      <c r="B10" t="s">
        <v>166</v>
      </c>
      <c r="C10" t="s">
        <v>167</v>
      </c>
      <c r="D10" t="s">
        <v>71</v>
      </c>
      <c r="E10" s="70">
        <v>1515965000</v>
      </c>
      <c r="F10" s="70">
        <v>688123000</v>
      </c>
      <c r="G10" s="86">
        <v>45.39</v>
      </c>
      <c r="H10" s="66">
        <v>29</v>
      </c>
      <c r="I10" s="66">
        <v>16</v>
      </c>
      <c r="J10" s="86">
        <v>55.17</v>
      </c>
      <c r="K10" s="86">
        <v>96</v>
      </c>
      <c r="L10" t="s">
        <v>40</v>
      </c>
      <c r="M10" s="66">
        <v>50.28</v>
      </c>
      <c r="N10" t="s">
        <v>242</v>
      </c>
    </row>
    <row r="11" spans="1:14" x14ac:dyDescent="0.35">
      <c r="A11" s="66">
        <v>7</v>
      </c>
      <c r="B11" t="s">
        <v>145</v>
      </c>
      <c r="C11" t="s">
        <v>146</v>
      </c>
      <c r="D11" t="s">
        <v>51</v>
      </c>
      <c r="E11" s="70">
        <v>360436000</v>
      </c>
      <c r="F11" s="70">
        <v>133638000</v>
      </c>
      <c r="G11" s="86">
        <v>37.08</v>
      </c>
      <c r="H11" s="66">
        <v>36</v>
      </c>
      <c r="I11" s="66">
        <v>22</v>
      </c>
      <c r="J11" s="86">
        <v>61.11</v>
      </c>
      <c r="K11" s="86">
        <v>90</v>
      </c>
      <c r="L11" t="s">
        <v>40</v>
      </c>
      <c r="M11" s="66">
        <v>49.09</v>
      </c>
      <c r="N11" t="s">
        <v>243</v>
      </c>
    </row>
    <row r="12" spans="1:14" x14ac:dyDescent="0.35">
      <c r="A12" s="66">
        <v>8</v>
      </c>
      <c r="B12" t="s">
        <v>149</v>
      </c>
      <c r="C12" t="s">
        <v>150</v>
      </c>
      <c r="D12" t="s">
        <v>110</v>
      </c>
      <c r="E12" s="70">
        <v>274916000</v>
      </c>
      <c r="F12" s="70">
        <v>146321000</v>
      </c>
      <c r="G12" s="86">
        <v>53.22</v>
      </c>
      <c r="H12" s="66">
        <v>23</v>
      </c>
      <c r="I12" s="66">
        <v>9</v>
      </c>
      <c r="J12" s="86">
        <v>39.130000000000003</v>
      </c>
      <c r="K12" s="86">
        <v>63</v>
      </c>
      <c r="L12" t="s">
        <v>40</v>
      </c>
      <c r="M12" s="66">
        <v>46.17</v>
      </c>
      <c r="N12" t="s">
        <v>243</v>
      </c>
    </row>
    <row r="13" spans="1:14" x14ac:dyDescent="0.35">
      <c r="A13" s="66">
        <v>9</v>
      </c>
      <c r="B13" t="s">
        <v>77</v>
      </c>
      <c r="C13" t="s">
        <v>78</v>
      </c>
      <c r="D13" t="s">
        <v>37</v>
      </c>
      <c r="E13" s="70">
        <v>1502729000</v>
      </c>
      <c r="F13" s="70">
        <v>410826000</v>
      </c>
      <c r="G13" s="86">
        <v>27.34</v>
      </c>
      <c r="H13" s="66">
        <v>39</v>
      </c>
      <c r="I13" s="66">
        <v>25</v>
      </c>
      <c r="J13" s="86">
        <v>64.099999999999994</v>
      </c>
      <c r="K13" s="86">
        <v>81</v>
      </c>
      <c r="L13" t="s">
        <v>40</v>
      </c>
      <c r="M13" s="66">
        <v>45.72</v>
      </c>
      <c r="N13" t="s">
        <v>243</v>
      </c>
    </row>
    <row r="14" spans="1:14" x14ac:dyDescent="0.35">
      <c r="A14" s="66">
        <v>10</v>
      </c>
      <c r="B14" t="s">
        <v>158</v>
      </c>
      <c r="C14" t="s">
        <v>78</v>
      </c>
      <c r="D14" t="s">
        <v>62</v>
      </c>
      <c r="E14" s="70">
        <v>1344515000</v>
      </c>
      <c r="F14" s="70">
        <v>432338000</v>
      </c>
      <c r="G14" s="86">
        <v>32.159999999999997</v>
      </c>
      <c r="H14" s="66">
        <v>17</v>
      </c>
      <c r="I14" s="66">
        <v>10</v>
      </c>
      <c r="J14" s="86">
        <v>58.82</v>
      </c>
      <c r="K14" s="86">
        <v>60</v>
      </c>
      <c r="L14" t="s">
        <v>40</v>
      </c>
      <c r="M14" s="66">
        <v>45.49</v>
      </c>
      <c r="N14" t="s">
        <v>243</v>
      </c>
    </row>
    <row r="15" spans="1:14" x14ac:dyDescent="0.35">
      <c r="A15" s="66">
        <v>11</v>
      </c>
      <c r="B15" t="s">
        <v>152</v>
      </c>
      <c r="C15" t="s">
        <v>153</v>
      </c>
      <c r="D15" t="s">
        <v>66</v>
      </c>
      <c r="E15" s="70">
        <v>1232107000</v>
      </c>
      <c r="F15" s="70">
        <v>316471000</v>
      </c>
      <c r="G15" s="86">
        <v>25.69</v>
      </c>
      <c r="H15" s="66">
        <v>36</v>
      </c>
      <c r="I15" s="66">
        <v>23</v>
      </c>
      <c r="J15" s="86">
        <v>63.89</v>
      </c>
      <c r="K15" s="86">
        <v>54</v>
      </c>
      <c r="L15" t="s">
        <v>40</v>
      </c>
      <c r="M15" s="66">
        <v>44.79</v>
      </c>
      <c r="N15" t="s">
        <v>243</v>
      </c>
    </row>
    <row r="16" spans="1:14" x14ac:dyDescent="0.35">
      <c r="A16" s="66">
        <v>12</v>
      </c>
      <c r="B16" t="s">
        <v>127</v>
      </c>
      <c r="C16" t="s">
        <v>128</v>
      </c>
      <c r="D16" t="s">
        <v>37</v>
      </c>
      <c r="E16" s="70">
        <v>1861586000</v>
      </c>
      <c r="F16" s="70">
        <v>952091000</v>
      </c>
      <c r="G16" s="86">
        <v>51.14</v>
      </c>
      <c r="H16" s="66">
        <v>12</v>
      </c>
      <c r="I16" s="66">
        <v>4</v>
      </c>
      <c r="J16" s="86">
        <v>33.33</v>
      </c>
      <c r="K16" s="86">
        <v>42</v>
      </c>
      <c r="L16" t="s">
        <v>90</v>
      </c>
      <c r="M16" s="66">
        <v>42.23</v>
      </c>
      <c r="N16" t="s">
        <v>243</v>
      </c>
    </row>
    <row r="17" spans="1:14" x14ac:dyDescent="0.35">
      <c r="A17" s="66">
        <v>13</v>
      </c>
      <c r="B17" t="s">
        <v>163</v>
      </c>
      <c r="C17" t="s">
        <v>164</v>
      </c>
      <c r="D17" t="s">
        <v>110</v>
      </c>
      <c r="E17" s="70">
        <v>668731000</v>
      </c>
      <c r="F17" s="70">
        <v>269599000</v>
      </c>
      <c r="G17" s="86">
        <v>40.32</v>
      </c>
      <c r="H17" s="66">
        <v>40</v>
      </c>
      <c r="I17" s="66">
        <v>17</v>
      </c>
      <c r="J17" s="86">
        <v>42.5</v>
      </c>
      <c r="K17" s="86">
        <v>94</v>
      </c>
      <c r="L17" t="s">
        <v>40</v>
      </c>
      <c r="M17" s="66">
        <v>41.41</v>
      </c>
      <c r="N17" t="s">
        <v>243</v>
      </c>
    </row>
    <row r="18" spans="1:14" x14ac:dyDescent="0.35">
      <c r="A18" s="66">
        <v>14</v>
      </c>
      <c r="B18" t="s">
        <v>176</v>
      </c>
      <c r="C18" t="s">
        <v>177</v>
      </c>
      <c r="D18" t="s">
        <v>110</v>
      </c>
      <c r="E18" s="70">
        <v>1204191000</v>
      </c>
      <c r="F18" s="70">
        <v>418817000</v>
      </c>
      <c r="G18" s="86">
        <v>34.78</v>
      </c>
      <c r="H18" s="66">
        <v>17</v>
      </c>
      <c r="I18" s="66">
        <v>8</v>
      </c>
      <c r="J18" s="86">
        <v>47.06</v>
      </c>
      <c r="K18" s="86">
        <v>47</v>
      </c>
      <c r="L18" t="s">
        <v>90</v>
      </c>
      <c r="M18" s="66">
        <v>40.92</v>
      </c>
      <c r="N18" t="s">
        <v>243</v>
      </c>
    </row>
    <row r="19" spans="1:14" x14ac:dyDescent="0.35">
      <c r="A19" s="66">
        <v>15</v>
      </c>
      <c r="B19" t="s">
        <v>64</v>
      </c>
      <c r="C19" t="s">
        <v>65</v>
      </c>
      <c r="D19" t="s">
        <v>66</v>
      </c>
      <c r="E19" s="70">
        <v>1356842000</v>
      </c>
      <c r="F19" s="70">
        <v>503513000</v>
      </c>
      <c r="G19" s="86">
        <v>37.11</v>
      </c>
      <c r="H19" s="66">
        <v>16</v>
      </c>
      <c r="I19" s="66">
        <v>7</v>
      </c>
      <c r="J19" s="86">
        <v>43.75</v>
      </c>
      <c r="K19" s="86">
        <v>51</v>
      </c>
      <c r="L19" t="s">
        <v>40</v>
      </c>
      <c r="M19" s="66">
        <v>40.43</v>
      </c>
      <c r="N19" t="s">
        <v>243</v>
      </c>
    </row>
    <row r="20" spans="1:14" x14ac:dyDescent="0.35">
      <c r="A20" s="66">
        <v>16</v>
      </c>
      <c r="B20" t="s">
        <v>85</v>
      </c>
      <c r="C20" t="s">
        <v>86</v>
      </c>
      <c r="D20" t="s">
        <v>89</v>
      </c>
      <c r="E20" s="70">
        <v>540258000</v>
      </c>
      <c r="F20" s="70">
        <v>152318000</v>
      </c>
      <c r="G20" s="86">
        <v>28.19</v>
      </c>
      <c r="H20" s="66">
        <v>12</v>
      </c>
      <c r="I20" s="66">
        <v>6</v>
      </c>
      <c r="J20" s="86">
        <v>50</v>
      </c>
      <c r="K20" s="86">
        <v>44</v>
      </c>
      <c r="L20" t="s">
        <v>90</v>
      </c>
      <c r="M20" s="66">
        <v>39.090000000000003</v>
      </c>
      <c r="N20" t="s">
        <v>243</v>
      </c>
    </row>
    <row r="21" spans="1:14" x14ac:dyDescent="0.35">
      <c r="A21" s="66">
        <v>17</v>
      </c>
      <c r="B21" t="s">
        <v>113</v>
      </c>
      <c r="C21" t="s">
        <v>114</v>
      </c>
      <c r="D21" t="s">
        <v>110</v>
      </c>
      <c r="E21" s="70">
        <v>872669000</v>
      </c>
      <c r="F21" s="70">
        <v>102213000</v>
      </c>
      <c r="G21" s="86">
        <v>11.71</v>
      </c>
      <c r="H21" s="66">
        <v>27</v>
      </c>
      <c r="I21" s="66">
        <v>17</v>
      </c>
      <c r="J21" s="86">
        <v>62.96</v>
      </c>
      <c r="K21" s="86">
        <v>39</v>
      </c>
      <c r="L21" t="s">
        <v>90</v>
      </c>
      <c r="M21" s="66">
        <v>37.340000000000003</v>
      </c>
      <c r="N21" t="s">
        <v>243</v>
      </c>
    </row>
    <row r="22" spans="1:14" x14ac:dyDescent="0.35">
      <c r="A22" s="66">
        <v>18</v>
      </c>
      <c r="B22" t="s">
        <v>138</v>
      </c>
      <c r="C22" t="s">
        <v>139</v>
      </c>
      <c r="D22" t="s">
        <v>122</v>
      </c>
      <c r="E22" s="70">
        <v>1892849000</v>
      </c>
      <c r="F22" s="70">
        <v>690155000</v>
      </c>
      <c r="G22" s="86">
        <v>36.46</v>
      </c>
      <c r="H22" s="66">
        <v>21</v>
      </c>
      <c r="I22" s="66">
        <v>8</v>
      </c>
      <c r="J22" s="86">
        <v>38.1</v>
      </c>
      <c r="K22" s="86">
        <v>77</v>
      </c>
      <c r="L22" t="s">
        <v>40</v>
      </c>
      <c r="M22" s="66">
        <v>37.28</v>
      </c>
      <c r="N22" t="s">
        <v>243</v>
      </c>
    </row>
    <row r="23" spans="1:14" x14ac:dyDescent="0.35">
      <c r="A23" s="66">
        <v>19</v>
      </c>
      <c r="B23" t="s">
        <v>172</v>
      </c>
      <c r="C23" t="s">
        <v>173</v>
      </c>
      <c r="D23" t="s">
        <v>51</v>
      </c>
      <c r="E23" s="70">
        <v>1888346000</v>
      </c>
      <c r="F23" s="70">
        <v>243913000</v>
      </c>
      <c r="G23" s="86">
        <v>12.92</v>
      </c>
      <c r="H23" s="66">
        <v>36</v>
      </c>
      <c r="I23" s="66">
        <v>22</v>
      </c>
      <c r="J23" s="86">
        <v>61.11</v>
      </c>
      <c r="K23" s="86">
        <v>83</v>
      </c>
      <c r="L23" t="s">
        <v>40</v>
      </c>
      <c r="M23" s="66">
        <v>37.020000000000003</v>
      </c>
      <c r="N23" t="s">
        <v>243</v>
      </c>
    </row>
    <row r="24" spans="1:14" x14ac:dyDescent="0.35">
      <c r="A24" s="66">
        <v>20</v>
      </c>
      <c r="B24" t="s">
        <v>115</v>
      </c>
      <c r="C24" t="s">
        <v>116</v>
      </c>
      <c r="D24" t="s">
        <v>110</v>
      </c>
      <c r="E24" s="70">
        <v>1856416000</v>
      </c>
      <c r="F24" s="70">
        <v>852499000</v>
      </c>
      <c r="G24" s="86">
        <v>45.92</v>
      </c>
      <c r="H24" s="66">
        <v>22</v>
      </c>
      <c r="I24" s="66">
        <v>6</v>
      </c>
      <c r="J24" s="86">
        <v>27.27</v>
      </c>
      <c r="K24" s="86">
        <v>91</v>
      </c>
      <c r="L24" t="s">
        <v>40</v>
      </c>
      <c r="M24" s="66">
        <v>36.590000000000003</v>
      </c>
      <c r="N24" t="s">
        <v>243</v>
      </c>
    </row>
    <row r="25" spans="1:14" x14ac:dyDescent="0.35">
      <c r="A25" s="66">
        <v>21</v>
      </c>
      <c r="B25" t="s">
        <v>94</v>
      </c>
      <c r="C25" t="s">
        <v>95</v>
      </c>
      <c r="D25" t="s">
        <v>89</v>
      </c>
      <c r="E25" s="70">
        <v>779132000</v>
      </c>
      <c r="F25" s="70">
        <v>36564000</v>
      </c>
      <c r="G25" s="86">
        <v>4.6900000000000004</v>
      </c>
      <c r="H25" s="66">
        <v>45</v>
      </c>
      <c r="I25" s="66">
        <v>29</v>
      </c>
      <c r="J25" s="86">
        <v>64.44</v>
      </c>
      <c r="K25" s="86">
        <v>71</v>
      </c>
      <c r="L25" t="s">
        <v>40</v>
      </c>
      <c r="M25" s="66">
        <v>34.56</v>
      </c>
      <c r="N25" t="s">
        <v>243</v>
      </c>
    </row>
    <row r="26" spans="1:14" x14ac:dyDescent="0.35">
      <c r="A26" s="66">
        <v>22</v>
      </c>
      <c r="B26" t="s">
        <v>133</v>
      </c>
      <c r="C26" t="s">
        <v>134</v>
      </c>
      <c r="D26" t="s">
        <v>89</v>
      </c>
      <c r="E26" s="70">
        <v>447015000</v>
      </c>
      <c r="F26" s="70">
        <v>147758000</v>
      </c>
      <c r="G26" s="86">
        <v>33.049999999999997</v>
      </c>
      <c r="H26" s="66">
        <v>28</v>
      </c>
      <c r="I26" s="66">
        <v>10</v>
      </c>
      <c r="J26" s="86">
        <v>35.71</v>
      </c>
      <c r="K26" s="86">
        <v>62</v>
      </c>
      <c r="L26" t="s">
        <v>40</v>
      </c>
      <c r="M26" s="66">
        <v>34.380000000000003</v>
      </c>
      <c r="N26" t="s">
        <v>243</v>
      </c>
    </row>
    <row r="27" spans="1:14" x14ac:dyDescent="0.35">
      <c r="A27" s="66">
        <v>23</v>
      </c>
      <c r="B27" t="s">
        <v>129</v>
      </c>
      <c r="C27" t="s">
        <v>130</v>
      </c>
      <c r="D27" t="s">
        <v>37</v>
      </c>
      <c r="E27" s="70">
        <v>1767685000</v>
      </c>
      <c r="F27" s="70">
        <v>844179000</v>
      </c>
      <c r="G27" s="86">
        <v>47.76</v>
      </c>
      <c r="H27" s="66">
        <v>35</v>
      </c>
      <c r="I27" s="66">
        <v>7</v>
      </c>
      <c r="J27" s="86">
        <v>20</v>
      </c>
      <c r="K27" s="86">
        <v>86</v>
      </c>
      <c r="L27" t="s">
        <v>40</v>
      </c>
      <c r="M27" s="66">
        <v>33.880000000000003</v>
      </c>
      <c r="N27" t="s">
        <v>243</v>
      </c>
    </row>
    <row r="28" spans="1:14" x14ac:dyDescent="0.35">
      <c r="A28" s="66">
        <v>24</v>
      </c>
      <c r="B28" t="s">
        <v>73</v>
      </c>
      <c r="C28" t="s">
        <v>74</v>
      </c>
      <c r="D28" t="s">
        <v>51</v>
      </c>
      <c r="E28" s="70">
        <v>461417000</v>
      </c>
      <c r="F28" s="70">
        <v>237974000</v>
      </c>
      <c r="G28" s="86">
        <v>51.57</v>
      </c>
      <c r="H28" s="66">
        <v>32</v>
      </c>
      <c r="I28" s="66">
        <v>5</v>
      </c>
      <c r="J28" s="86">
        <v>15.63</v>
      </c>
      <c r="K28" s="86">
        <v>93</v>
      </c>
      <c r="L28" t="s">
        <v>40</v>
      </c>
      <c r="M28" s="66">
        <v>33.6</v>
      </c>
      <c r="N28" t="s">
        <v>243</v>
      </c>
    </row>
    <row r="29" spans="1:14" x14ac:dyDescent="0.35">
      <c r="A29" s="66">
        <v>25</v>
      </c>
      <c r="B29" t="s">
        <v>108</v>
      </c>
      <c r="C29" t="s">
        <v>109</v>
      </c>
      <c r="D29" t="s">
        <v>110</v>
      </c>
      <c r="E29" s="70">
        <v>1173613000</v>
      </c>
      <c r="F29" s="70">
        <v>112430000</v>
      </c>
      <c r="G29" s="86">
        <v>9.58</v>
      </c>
      <c r="H29" s="66">
        <v>42</v>
      </c>
      <c r="I29" s="66">
        <v>24</v>
      </c>
      <c r="J29" s="86">
        <v>57.14</v>
      </c>
      <c r="K29" s="86">
        <v>54</v>
      </c>
      <c r="L29" t="s">
        <v>40</v>
      </c>
      <c r="M29" s="66">
        <v>33.36</v>
      </c>
      <c r="N29" t="s">
        <v>243</v>
      </c>
    </row>
    <row r="30" spans="1:14" x14ac:dyDescent="0.35">
      <c r="A30" s="66">
        <v>26</v>
      </c>
      <c r="B30" t="s">
        <v>123</v>
      </c>
      <c r="C30" t="s">
        <v>124</v>
      </c>
      <c r="D30" t="s">
        <v>62</v>
      </c>
      <c r="E30" s="70">
        <v>1210318000</v>
      </c>
      <c r="F30" s="70">
        <v>429817000</v>
      </c>
      <c r="G30" s="86">
        <v>35.51</v>
      </c>
      <c r="H30" s="66">
        <v>27</v>
      </c>
      <c r="I30" s="66">
        <v>8</v>
      </c>
      <c r="J30" s="86">
        <v>29.63</v>
      </c>
      <c r="K30" s="86">
        <v>61</v>
      </c>
      <c r="L30" t="s">
        <v>40</v>
      </c>
      <c r="M30" s="66">
        <v>32.57</v>
      </c>
      <c r="N30" t="s">
        <v>243</v>
      </c>
    </row>
    <row r="31" spans="1:14" x14ac:dyDescent="0.35">
      <c r="A31" s="66">
        <v>27</v>
      </c>
      <c r="B31" t="s">
        <v>159</v>
      </c>
      <c r="C31" t="s">
        <v>160</v>
      </c>
      <c r="D31" t="s">
        <v>122</v>
      </c>
      <c r="E31" s="70">
        <v>1968675000</v>
      </c>
      <c r="F31" s="70">
        <v>623606000</v>
      </c>
      <c r="G31" s="86">
        <v>31.68</v>
      </c>
      <c r="H31" s="66">
        <v>16</v>
      </c>
      <c r="I31" s="66">
        <v>5</v>
      </c>
      <c r="J31" s="86">
        <v>31.25</v>
      </c>
      <c r="K31" s="86">
        <v>54</v>
      </c>
      <c r="L31" t="s">
        <v>40</v>
      </c>
      <c r="M31" s="66">
        <v>31.46</v>
      </c>
      <c r="N31" t="s">
        <v>243</v>
      </c>
    </row>
    <row r="32" spans="1:14" x14ac:dyDescent="0.35">
      <c r="A32" s="66">
        <v>28</v>
      </c>
      <c r="B32" t="s">
        <v>117</v>
      </c>
      <c r="C32" t="s">
        <v>118</v>
      </c>
      <c r="D32" t="s">
        <v>51</v>
      </c>
      <c r="E32" s="70">
        <v>567146000</v>
      </c>
      <c r="F32" s="70">
        <v>238452000</v>
      </c>
      <c r="G32" s="86">
        <v>42.04</v>
      </c>
      <c r="H32" s="66">
        <v>41</v>
      </c>
      <c r="I32" s="66">
        <v>8</v>
      </c>
      <c r="J32" s="86">
        <v>19.510000000000002</v>
      </c>
      <c r="K32" s="86">
        <v>92</v>
      </c>
      <c r="L32" t="s">
        <v>40</v>
      </c>
      <c r="M32" s="66">
        <v>30.77</v>
      </c>
      <c r="N32" t="s">
        <v>243</v>
      </c>
    </row>
    <row r="33" spans="1:14" x14ac:dyDescent="0.35">
      <c r="A33" s="66">
        <v>29</v>
      </c>
      <c r="B33" t="s">
        <v>54</v>
      </c>
      <c r="C33" t="s">
        <v>55</v>
      </c>
      <c r="D33" t="s">
        <v>37</v>
      </c>
      <c r="E33" s="70">
        <v>1095645000</v>
      </c>
      <c r="F33" s="70">
        <v>584931000</v>
      </c>
      <c r="G33" s="86">
        <v>53.39</v>
      </c>
      <c r="H33" s="66">
        <v>36</v>
      </c>
      <c r="I33" s="66">
        <v>2</v>
      </c>
      <c r="J33" s="86">
        <v>5.56</v>
      </c>
      <c r="K33" s="86">
        <v>67</v>
      </c>
      <c r="L33" t="s">
        <v>40</v>
      </c>
      <c r="M33" s="66">
        <v>29.48</v>
      </c>
      <c r="N33" t="s">
        <v>243</v>
      </c>
    </row>
    <row r="34" spans="1:14" x14ac:dyDescent="0.35">
      <c r="A34" s="66">
        <v>30</v>
      </c>
      <c r="B34" t="s">
        <v>81</v>
      </c>
      <c r="C34" t="s">
        <v>82</v>
      </c>
      <c r="D34" t="s">
        <v>71</v>
      </c>
      <c r="E34" s="70">
        <v>1729151000</v>
      </c>
      <c r="F34" s="70">
        <v>72114000</v>
      </c>
      <c r="G34" s="86">
        <v>4.17</v>
      </c>
      <c r="H34" s="66">
        <v>22</v>
      </c>
      <c r="I34" s="66">
        <v>12</v>
      </c>
      <c r="J34" s="86">
        <v>54.55</v>
      </c>
      <c r="K34" s="86">
        <v>84</v>
      </c>
      <c r="L34" t="s">
        <v>40</v>
      </c>
      <c r="M34" s="66">
        <v>29.36</v>
      </c>
      <c r="N34" t="s">
        <v>243</v>
      </c>
    </row>
    <row r="35" spans="1:14" x14ac:dyDescent="0.35">
      <c r="A35" s="66">
        <v>31</v>
      </c>
      <c r="B35" t="s">
        <v>47</v>
      </c>
      <c r="C35" t="s">
        <v>48</v>
      </c>
      <c r="D35" t="s">
        <v>51</v>
      </c>
      <c r="E35" s="70">
        <v>353185000</v>
      </c>
      <c r="F35" s="70">
        <v>185185000</v>
      </c>
      <c r="G35" s="86">
        <v>52.43</v>
      </c>
      <c r="H35" s="66">
        <v>33</v>
      </c>
      <c r="I35" s="66">
        <v>2</v>
      </c>
      <c r="J35" s="86">
        <v>6.06</v>
      </c>
      <c r="K35" s="86">
        <v>78</v>
      </c>
      <c r="L35" t="s">
        <v>40</v>
      </c>
      <c r="M35" s="66">
        <v>29.25</v>
      </c>
      <c r="N35" t="s">
        <v>243</v>
      </c>
    </row>
    <row r="36" spans="1:14" x14ac:dyDescent="0.35">
      <c r="A36" s="66">
        <v>32</v>
      </c>
      <c r="B36" t="s">
        <v>131</v>
      </c>
      <c r="C36" t="s">
        <v>132</v>
      </c>
      <c r="D36" t="s">
        <v>110</v>
      </c>
      <c r="E36" s="70">
        <v>633789000</v>
      </c>
      <c r="F36" s="70">
        <v>220580000</v>
      </c>
      <c r="G36" s="86">
        <v>34.799999999999997</v>
      </c>
      <c r="H36" s="66">
        <v>20</v>
      </c>
      <c r="I36" s="66">
        <v>4</v>
      </c>
      <c r="J36" s="86">
        <v>20</v>
      </c>
      <c r="K36" s="86">
        <v>43</v>
      </c>
      <c r="L36" t="s">
        <v>90</v>
      </c>
      <c r="M36" s="66">
        <v>27.4</v>
      </c>
      <c r="N36" t="s">
        <v>243</v>
      </c>
    </row>
    <row r="37" spans="1:14" x14ac:dyDescent="0.35">
      <c r="A37" s="66">
        <v>33</v>
      </c>
      <c r="B37" t="s">
        <v>120</v>
      </c>
      <c r="C37" t="s">
        <v>121</v>
      </c>
      <c r="D37" t="s">
        <v>122</v>
      </c>
      <c r="E37" s="70">
        <v>168867000</v>
      </c>
      <c r="F37" s="70">
        <v>23331000</v>
      </c>
      <c r="G37" s="86">
        <v>13.82</v>
      </c>
      <c r="H37" s="66">
        <v>15</v>
      </c>
      <c r="I37" s="66">
        <v>6</v>
      </c>
      <c r="J37" s="86">
        <v>40</v>
      </c>
      <c r="K37" s="86">
        <v>94</v>
      </c>
      <c r="L37" t="s">
        <v>40</v>
      </c>
      <c r="M37" s="66">
        <v>26.91</v>
      </c>
      <c r="N37" t="s">
        <v>243</v>
      </c>
    </row>
    <row r="38" spans="1:14" x14ac:dyDescent="0.35">
      <c r="A38" s="66">
        <v>34</v>
      </c>
      <c r="B38" t="s">
        <v>156</v>
      </c>
      <c r="C38" t="s">
        <v>104</v>
      </c>
      <c r="D38" t="s">
        <v>66</v>
      </c>
      <c r="E38" s="70">
        <v>1131104000</v>
      </c>
      <c r="F38" s="70">
        <v>73639000</v>
      </c>
      <c r="G38" s="86">
        <v>6.51</v>
      </c>
      <c r="H38" s="66">
        <v>36</v>
      </c>
      <c r="I38" s="66">
        <v>17</v>
      </c>
      <c r="J38" s="86">
        <v>47.22</v>
      </c>
      <c r="K38" s="86">
        <v>52</v>
      </c>
      <c r="L38" t="s">
        <v>40</v>
      </c>
      <c r="M38" s="66">
        <v>26.86</v>
      </c>
      <c r="N38" t="s">
        <v>243</v>
      </c>
    </row>
    <row r="39" spans="1:14" x14ac:dyDescent="0.35">
      <c r="A39" s="66">
        <v>35</v>
      </c>
      <c r="B39" t="s">
        <v>157</v>
      </c>
      <c r="C39" t="s">
        <v>104</v>
      </c>
      <c r="D39" t="s">
        <v>110</v>
      </c>
      <c r="E39" s="70">
        <v>609482000</v>
      </c>
      <c r="F39" s="70">
        <v>126731000</v>
      </c>
      <c r="G39" s="86">
        <v>20.79</v>
      </c>
      <c r="H39" s="66">
        <v>32</v>
      </c>
      <c r="I39" s="66">
        <v>10</v>
      </c>
      <c r="J39" s="86">
        <v>31.25</v>
      </c>
      <c r="K39" s="86">
        <v>86</v>
      </c>
      <c r="L39" t="s">
        <v>40</v>
      </c>
      <c r="M39" s="66">
        <v>26.02</v>
      </c>
      <c r="N39" t="s">
        <v>243</v>
      </c>
    </row>
    <row r="40" spans="1:14" x14ac:dyDescent="0.35">
      <c r="A40" s="66">
        <v>36</v>
      </c>
      <c r="B40" t="s">
        <v>68</v>
      </c>
      <c r="C40" t="s">
        <v>69</v>
      </c>
      <c r="D40" t="s">
        <v>71</v>
      </c>
      <c r="E40" s="70">
        <v>1979571000</v>
      </c>
      <c r="F40" s="70">
        <v>661176000</v>
      </c>
      <c r="G40" s="86">
        <v>33.4</v>
      </c>
      <c r="H40" s="66">
        <v>47</v>
      </c>
      <c r="I40" s="66">
        <v>7</v>
      </c>
      <c r="J40" s="86">
        <v>14.89</v>
      </c>
      <c r="K40" s="86">
        <v>71</v>
      </c>
      <c r="L40" t="s">
        <v>40</v>
      </c>
      <c r="M40" s="66">
        <v>24.14</v>
      </c>
      <c r="N40" t="s">
        <v>243</v>
      </c>
    </row>
    <row r="41" spans="1:14" x14ac:dyDescent="0.35">
      <c r="A41" s="66">
        <v>37</v>
      </c>
      <c r="B41" t="s">
        <v>174</v>
      </c>
      <c r="C41" t="s">
        <v>175</v>
      </c>
      <c r="D41" t="s">
        <v>44</v>
      </c>
      <c r="E41" s="70">
        <v>582224000</v>
      </c>
      <c r="F41" s="70">
        <v>140540000</v>
      </c>
      <c r="G41" s="86">
        <v>24.14</v>
      </c>
      <c r="H41" s="66">
        <v>36</v>
      </c>
      <c r="I41" s="66">
        <v>8</v>
      </c>
      <c r="J41" s="86">
        <v>22.22</v>
      </c>
      <c r="K41" s="86">
        <v>81</v>
      </c>
      <c r="L41" t="s">
        <v>40</v>
      </c>
      <c r="M41" s="66">
        <v>23.18</v>
      </c>
      <c r="N41" t="s">
        <v>243</v>
      </c>
    </row>
    <row r="42" spans="1:14" x14ac:dyDescent="0.35">
      <c r="A42" s="66">
        <v>38</v>
      </c>
      <c r="B42" t="s">
        <v>136</v>
      </c>
      <c r="C42" t="s">
        <v>137</v>
      </c>
      <c r="D42" t="s">
        <v>122</v>
      </c>
      <c r="E42" s="70">
        <v>1553682000</v>
      </c>
      <c r="F42" s="70">
        <v>516239000</v>
      </c>
      <c r="G42" s="86">
        <v>33.229999999999997</v>
      </c>
      <c r="H42" s="66">
        <v>28</v>
      </c>
      <c r="I42" s="66">
        <v>3</v>
      </c>
      <c r="J42" s="86">
        <v>10.71</v>
      </c>
      <c r="K42" s="86">
        <v>86</v>
      </c>
      <c r="L42" t="s">
        <v>40</v>
      </c>
      <c r="M42" s="66">
        <v>21.97</v>
      </c>
      <c r="N42" t="s">
        <v>243</v>
      </c>
    </row>
    <row r="43" spans="1:14" x14ac:dyDescent="0.35">
      <c r="A43" s="66">
        <v>39</v>
      </c>
      <c r="B43" t="s">
        <v>154</v>
      </c>
      <c r="C43" t="s">
        <v>155</v>
      </c>
      <c r="D43" t="s">
        <v>110</v>
      </c>
      <c r="E43" s="70">
        <v>760232000</v>
      </c>
      <c r="F43" s="70">
        <v>-6094000</v>
      </c>
      <c r="G43" s="86">
        <v>0</v>
      </c>
      <c r="H43" s="66">
        <v>33</v>
      </c>
      <c r="I43" s="66">
        <v>14</v>
      </c>
      <c r="J43" s="86">
        <v>42.42</v>
      </c>
      <c r="K43" s="86">
        <v>45</v>
      </c>
      <c r="L43" t="s">
        <v>90</v>
      </c>
      <c r="M43" s="66">
        <v>21.21</v>
      </c>
      <c r="N43" t="s">
        <v>243</v>
      </c>
    </row>
    <row r="44" spans="1:14" x14ac:dyDescent="0.35">
      <c r="A44" s="66">
        <v>40</v>
      </c>
      <c r="B44" t="s">
        <v>161</v>
      </c>
      <c r="C44" t="s">
        <v>162</v>
      </c>
      <c r="D44" t="s">
        <v>142</v>
      </c>
      <c r="E44" s="70">
        <v>1567920000</v>
      </c>
      <c r="F44" s="70">
        <v>127479000</v>
      </c>
      <c r="G44" s="86">
        <v>8.1300000000000008</v>
      </c>
      <c r="H44" s="66">
        <v>45</v>
      </c>
      <c r="I44" s="66">
        <v>15</v>
      </c>
      <c r="J44" s="86">
        <v>33.33</v>
      </c>
      <c r="K44" s="86">
        <v>61</v>
      </c>
      <c r="L44" t="s">
        <v>40</v>
      </c>
      <c r="M44" s="66">
        <v>20.73</v>
      </c>
      <c r="N44" t="s">
        <v>243</v>
      </c>
    </row>
    <row r="45" spans="1:14" x14ac:dyDescent="0.35">
      <c r="A45" s="66">
        <v>41</v>
      </c>
      <c r="B45" t="s">
        <v>41</v>
      </c>
      <c r="C45" t="s">
        <v>42</v>
      </c>
      <c r="D45" t="s">
        <v>44</v>
      </c>
      <c r="E45" s="70">
        <v>101745000</v>
      </c>
      <c r="F45" s="70">
        <v>7051000</v>
      </c>
      <c r="G45" s="86">
        <v>6.93</v>
      </c>
      <c r="H45" s="66">
        <v>46</v>
      </c>
      <c r="I45" s="66">
        <v>14</v>
      </c>
      <c r="J45" s="86">
        <v>30.43</v>
      </c>
      <c r="K45" s="86">
        <v>87</v>
      </c>
      <c r="L45" t="s">
        <v>40</v>
      </c>
      <c r="M45" s="66">
        <v>18.68</v>
      </c>
      <c r="N45" t="s">
        <v>244</v>
      </c>
    </row>
    <row r="46" spans="1:14" x14ac:dyDescent="0.35">
      <c r="A46" s="66">
        <v>42</v>
      </c>
      <c r="B46" t="s">
        <v>170</v>
      </c>
      <c r="C46" t="s">
        <v>171</v>
      </c>
      <c r="D46" t="s">
        <v>62</v>
      </c>
      <c r="E46" s="70">
        <v>695219000</v>
      </c>
      <c r="F46" s="70">
        <v>159591000</v>
      </c>
      <c r="G46" s="86">
        <v>22.96</v>
      </c>
      <c r="H46" s="66">
        <v>15</v>
      </c>
      <c r="I46" s="66">
        <v>2</v>
      </c>
      <c r="J46" s="86">
        <v>13.33</v>
      </c>
      <c r="K46" s="86">
        <v>83</v>
      </c>
      <c r="L46" t="s">
        <v>40</v>
      </c>
      <c r="M46" s="66">
        <v>18.14</v>
      </c>
      <c r="N46" t="s">
        <v>244</v>
      </c>
    </row>
    <row r="47" spans="1:14" x14ac:dyDescent="0.35">
      <c r="A47" s="66">
        <v>43</v>
      </c>
      <c r="B47" t="s">
        <v>98</v>
      </c>
      <c r="C47" t="s">
        <v>99</v>
      </c>
      <c r="D47" t="s">
        <v>37</v>
      </c>
      <c r="E47" s="70">
        <v>519700000</v>
      </c>
      <c r="F47" s="70">
        <v>150928000</v>
      </c>
      <c r="G47" s="86">
        <v>29.04</v>
      </c>
      <c r="H47" s="66">
        <v>17</v>
      </c>
      <c r="I47" s="66">
        <v>1</v>
      </c>
      <c r="J47" s="86">
        <v>5.88</v>
      </c>
      <c r="K47" s="86">
        <v>92</v>
      </c>
      <c r="L47" t="s">
        <v>40</v>
      </c>
      <c r="M47" s="66">
        <v>17.46</v>
      </c>
      <c r="N47" t="s">
        <v>244</v>
      </c>
    </row>
    <row r="48" spans="1:14" x14ac:dyDescent="0.35">
      <c r="A48" s="66">
        <v>44</v>
      </c>
      <c r="B48" t="s">
        <v>125</v>
      </c>
      <c r="C48" t="s">
        <v>126</v>
      </c>
      <c r="D48" t="s">
        <v>62</v>
      </c>
      <c r="E48" s="70">
        <v>1152193000</v>
      </c>
      <c r="F48" s="70">
        <v>161102000</v>
      </c>
      <c r="G48" s="86">
        <v>13.98</v>
      </c>
      <c r="H48" s="66">
        <v>28</v>
      </c>
      <c r="I48" s="66">
        <v>4</v>
      </c>
      <c r="J48" s="86">
        <v>14.29</v>
      </c>
      <c r="K48" s="86">
        <v>70</v>
      </c>
      <c r="L48" t="s">
        <v>40</v>
      </c>
      <c r="M48" s="66">
        <v>14.13</v>
      </c>
      <c r="N48" t="s">
        <v>244</v>
      </c>
    </row>
    <row r="49" spans="1:14" x14ac:dyDescent="0.35">
      <c r="A49" s="66">
        <v>45</v>
      </c>
      <c r="B49" t="s">
        <v>147</v>
      </c>
      <c r="C49" t="s">
        <v>148</v>
      </c>
      <c r="D49" t="s">
        <v>37</v>
      </c>
      <c r="E49" s="70">
        <v>96146000</v>
      </c>
      <c r="F49" s="70">
        <v>6334000</v>
      </c>
      <c r="G49" s="86">
        <v>6.59</v>
      </c>
      <c r="H49" s="66">
        <v>33</v>
      </c>
      <c r="I49" s="66">
        <v>6</v>
      </c>
      <c r="J49" s="86">
        <v>18.18</v>
      </c>
      <c r="K49" s="86">
        <v>38</v>
      </c>
      <c r="L49" t="s">
        <v>90</v>
      </c>
      <c r="M49" s="66">
        <v>12.38</v>
      </c>
      <c r="N49" t="s">
        <v>243</v>
      </c>
    </row>
    <row r="50" spans="1:14" x14ac:dyDescent="0.35">
      <c r="A50" s="66">
        <v>46</v>
      </c>
      <c r="B50" t="s">
        <v>168</v>
      </c>
      <c r="C50" t="s">
        <v>169</v>
      </c>
      <c r="D50" t="s">
        <v>71</v>
      </c>
      <c r="E50" s="70">
        <v>507262000</v>
      </c>
      <c r="F50" s="70">
        <v>76855000</v>
      </c>
      <c r="G50" s="86">
        <v>15.15</v>
      </c>
      <c r="H50" s="66">
        <v>46</v>
      </c>
      <c r="I50" s="66">
        <v>3</v>
      </c>
      <c r="J50" s="86">
        <v>6.52</v>
      </c>
      <c r="K50" s="86">
        <v>49</v>
      </c>
      <c r="L50" t="s">
        <v>90</v>
      </c>
      <c r="M50" s="66">
        <v>10.84</v>
      </c>
      <c r="N50" t="s">
        <v>243</v>
      </c>
    </row>
    <row r="51" spans="1:14" x14ac:dyDescent="0.35">
      <c r="A51" s="66">
        <v>47</v>
      </c>
      <c r="B51" t="s">
        <v>33</v>
      </c>
      <c r="C51" t="s">
        <v>34</v>
      </c>
      <c r="D51" t="s">
        <v>37</v>
      </c>
      <c r="E51" s="70">
        <v>322099000</v>
      </c>
      <c r="F51" s="70">
        <v>3703000</v>
      </c>
      <c r="G51" s="86">
        <v>1.1499999999999999</v>
      </c>
      <c r="H51" s="66">
        <v>46</v>
      </c>
      <c r="I51" s="66">
        <v>3</v>
      </c>
      <c r="J51" s="86">
        <v>6.52</v>
      </c>
      <c r="K51" s="86">
        <v>84</v>
      </c>
      <c r="L51" t="s">
        <v>40</v>
      </c>
      <c r="M51" s="66">
        <v>3.83</v>
      </c>
      <c r="N51" t="s">
        <v>244</v>
      </c>
    </row>
    <row r="52" spans="1:14" x14ac:dyDescent="0.35">
      <c r="A52" s="66">
        <v>48</v>
      </c>
      <c r="B52" t="s">
        <v>106</v>
      </c>
      <c r="C52" t="s">
        <v>107</v>
      </c>
      <c r="D52" t="s">
        <v>62</v>
      </c>
      <c r="E52" s="70">
        <v>181431000</v>
      </c>
      <c r="F52" s="70">
        <v>-5652000</v>
      </c>
      <c r="G52" s="86">
        <v>0</v>
      </c>
      <c r="H52" s="66">
        <v>33</v>
      </c>
      <c r="I52" s="66">
        <v>2</v>
      </c>
      <c r="J52" s="86">
        <v>6.06</v>
      </c>
      <c r="K52" s="86">
        <v>60</v>
      </c>
      <c r="L52" t="s">
        <v>40</v>
      </c>
      <c r="M52" s="66">
        <v>3.03</v>
      </c>
      <c r="N52" t="s">
        <v>244</v>
      </c>
    </row>
    <row r="53" spans="1:14" x14ac:dyDescent="0.35">
      <c r="A53" s="66">
        <v>49</v>
      </c>
      <c r="B53" t="s">
        <v>111</v>
      </c>
      <c r="C53" t="s">
        <v>112</v>
      </c>
      <c r="D53" t="s">
        <v>51</v>
      </c>
      <c r="E53" s="70">
        <v>1734482000</v>
      </c>
      <c r="F53" s="70">
        <v>-30349000</v>
      </c>
      <c r="G53" s="86">
        <v>0</v>
      </c>
      <c r="H53" s="66">
        <v>18</v>
      </c>
      <c r="I53" s="66">
        <v>1</v>
      </c>
      <c r="J53" s="86">
        <v>5.56</v>
      </c>
      <c r="K53" s="86">
        <v>73</v>
      </c>
      <c r="L53" t="s">
        <v>40</v>
      </c>
      <c r="M53" s="66">
        <v>2.78</v>
      </c>
      <c r="N53" t="s">
        <v>244</v>
      </c>
    </row>
  </sheetData>
  <sheetProtection algorithmName="SHA-512" hashValue="wqz/vaJ0+3H9jF5DSo+jGhf8XNa0y4I+GwwmtC8rIO9uW5IACW7IsXNoA17DmJyG08XAz3Gk2+pSMtpGI7megw==" saltValue="BC5P2irxNIcL3Pv4PVu1NA==" spinCount="100000" sheet="1" objects="1" scenarios="1"/>
  <mergeCells count="1">
    <mergeCell ref="C1:F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2ECEC-1D45-430D-920D-730A05FDDFA9}">
  <dimension ref="A3:E24"/>
  <sheetViews>
    <sheetView workbookViewId="0">
      <selection activeCell="F14" sqref="F14"/>
    </sheetView>
  </sheetViews>
  <sheetFormatPr defaultRowHeight="14.5" x14ac:dyDescent="0.35"/>
  <cols>
    <col min="1" max="1" width="3.54296875" bestFit="1" customWidth="1"/>
    <col min="2" max="2" width="20" bestFit="1" customWidth="1"/>
    <col min="3" max="3" width="14.08984375" bestFit="1" customWidth="1"/>
    <col min="4" max="4" width="18.81640625" bestFit="1" customWidth="1"/>
    <col min="5" max="5" width="17.7265625" bestFit="1" customWidth="1"/>
  </cols>
  <sheetData>
    <row r="3" spans="1:5" x14ac:dyDescent="0.35">
      <c r="B3" s="91" t="s">
        <v>266</v>
      </c>
      <c r="C3" s="92"/>
      <c r="D3" s="92"/>
      <c r="E3" s="92"/>
    </row>
    <row r="4" spans="1:5" x14ac:dyDescent="0.35">
      <c r="B4" s="92"/>
      <c r="C4" s="92"/>
      <c r="D4" s="92"/>
      <c r="E4" s="92"/>
    </row>
    <row r="6" spans="1:5" x14ac:dyDescent="0.35">
      <c r="A6" s="78" t="s">
        <v>278</v>
      </c>
      <c r="B6" s="66" t="s">
        <v>259</v>
      </c>
      <c r="C6" s="66" t="s">
        <v>260</v>
      </c>
      <c r="D6" s="66" t="s">
        <v>261</v>
      </c>
      <c r="E6" s="66" t="s">
        <v>276</v>
      </c>
    </row>
    <row r="7" spans="1:5" x14ac:dyDescent="0.35">
      <c r="A7" s="66" cm="1">
        <f t="array" ref="A7:A24">_xlfn.SEQUENCE(18,,1)</f>
        <v>1</v>
      </c>
      <c r="B7" t="s">
        <v>72</v>
      </c>
      <c r="C7" t="s">
        <v>22</v>
      </c>
      <c r="D7" s="66">
        <v>3</v>
      </c>
      <c r="E7" s="86">
        <v>55.08</v>
      </c>
    </row>
    <row r="8" spans="1:5" x14ac:dyDescent="0.35">
      <c r="A8" s="66">
        <v>2</v>
      </c>
      <c r="B8" t="s">
        <v>58</v>
      </c>
      <c r="C8" t="s">
        <v>22</v>
      </c>
      <c r="D8" s="66">
        <v>2</v>
      </c>
      <c r="E8" s="86">
        <v>57.73</v>
      </c>
    </row>
    <row r="9" spans="1:5" x14ac:dyDescent="0.35">
      <c r="A9" s="66">
        <v>3</v>
      </c>
      <c r="B9" t="s">
        <v>45</v>
      </c>
      <c r="C9" t="s">
        <v>22</v>
      </c>
      <c r="D9" s="66">
        <v>1</v>
      </c>
      <c r="E9" s="86">
        <v>57.01</v>
      </c>
    </row>
    <row r="10" spans="1:5" x14ac:dyDescent="0.35">
      <c r="A10" s="66">
        <v>4</v>
      </c>
      <c r="B10" t="s">
        <v>102</v>
      </c>
      <c r="C10" t="s">
        <v>245</v>
      </c>
      <c r="D10" s="66">
        <v>2</v>
      </c>
      <c r="E10" s="86">
        <v>57.33</v>
      </c>
    </row>
    <row r="11" spans="1:5" x14ac:dyDescent="0.35">
      <c r="A11" s="66">
        <v>5</v>
      </c>
      <c r="B11" t="s">
        <v>76</v>
      </c>
      <c r="C11" t="s">
        <v>245</v>
      </c>
      <c r="D11" s="66">
        <v>1</v>
      </c>
      <c r="E11" s="86">
        <v>54.91</v>
      </c>
    </row>
    <row r="12" spans="1:5" x14ac:dyDescent="0.35">
      <c r="A12" s="66">
        <v>6</v>
      </c>
      <c r="B12" t="s">
        <v>63</v>
      </c>
      <c r="C12" t="s">
        <v>245</v>
      </c>
      <c r="D12" s="66">
        <v>1</v>
      </c>
      <c r="E12" s="86">
        <v>57.83</v>
      </c>
    </row>
    <row r="13" spans="1:5" x14ac:dyDescent="0.35">
      <c r="A13" s="66">
        <v>7</v>
      </c>
      <c r="B13" t="s">
        <v>97</v>
      </c>
      <c r="C13" t="s">
        <v>245</v>
      </c>
      <c r="D13" s="66">
        <v>1</v>
      </c>
      <c r="E13" s="86">
        <v>50.28</v>
      </c>
    </row>
    <row r="14" spans="1:5" x14ac:dyDescent="0.35">
      <c r="A14" s="66">
        <v>8</v>
      </c>
      <c r="B14" t="s">
        <v>67</v>
      </c>
      <c r="C14" t="s">
        <v>245</v>
      </c>
      <c r="D14" s="66">
        <v>1</v>
      </c>
      <c r="E14" s="86">
        <v>60.05</v>
      </c>
    </row>
    <row r="15" spans="1:5" x14ac:dyDescent="0.35">
      <c r="A15" s="66">
        <v>9</v>
      </c>
      <c r="B15" t="s">
        <v>83</v>
      </c>
      <c r="C15" t="s">
        <v>246</v>
      </c>
      <c r="D15" s="66">
        <v>2</v>
      </c>
      <c r="E15" s="86">
        <v>57.33</v>
      </c>
    </row>
    <row r="16" spans="1:5" x14ac:dyDescent="0.35">
      <c r="A16" s="66">
        <v>10</v>
      </c>
      <c r="B16" t="s">
        <v>61</v>
      </c>
      <c r="C16" t="s">
        <v>246</v>
      </c>
      <c r="D16" s="66">
        <v>1</v>
      </c>
      <c r="E16" s="86">
        <v>57.83</v>
      </c>
    </row>
    <row r="17" spans="1:5" x14ac:dyDescent="0.35">
      <c r="A17" s="66">
        <v>11</v>
      </c>
      <c r="B17" t="s">
        <v>56</v>
      </c>
      <c r="C17" t="s">
        <v>246</v>
      </c>
      <c r="D17" s="66">
        <v>1</v>
      </c>
      <c r="E17" s="86">
        <v>60.05</v>
      </c>
    </row>
    <row r="18" spans="1:5" x14ac:dyDescent="0.35">
      <c r="A18" s="66">
        <v>12</v>
      </c>
      <c r="B18" t="s">
        <v>35</v>
      </c>
      <c r="C18" t="s">
        <v>246</v>
      </c>
      <c r="D18" s="66">
        <v>1</v>
      </c>
      <c r="E18" s="86">
        <v>54.91</v>
      </c>
    </row>
    <row r="19" spans="1:5" x14ac:dyDescent="0.35">
      <c r="A19" s="66">
        <v>13</v>
      </c>
      <c r="B19" t="s">
        <v>79</v>
      </c>
      <c r="C19" t="s">
        <v>246</v>
      </c>
      <c r="D19" s="66">
        <v>1</v>
      </c>
      <c r="E19" s="86">
        <v>50.28</v>
      </c>
    </row>
    <row r="20" spans="1:5" x14ac:dyDescent="0.35">
      <c r="A20" s="66">
        <v>14</v>
      </c>
      <c r="B20" t="s">
        <v>50</v>
      </c>
      <c r="C20" t="s">
        <v>20</v>
      </c>
      <c r="D20" s="66">
        <v>2</v>
      </c>
      <c r="E20" s="86">
        <v>53.64</v>
      </c>
    </row>
    <row r="21" spans="1:5" x14ac:dyDescent="0.35">
      <c r="A21" s="66">
        <v>15</v>
      </c>
      <c r="B21" t="s">
        <v>93</v>
      </c>
      <c r="C21" t="s">
        <v>20</v>
      </c>
      <c r="D21" s="66">
        <v>1</v>
      </c>
      <c r="E21" s="86">
        <v>60.05</v>
      </c>
    </row>
    <row r="22" spans="1:5" x14ac:dyDescent="0.35">
      <c r="A22" s="66">
        <v>16</v>
      </c>
      <c r="B22" t="s">
        <v>88</v>
      </c>
      <c r="C22" t="s">
        <v>20</v>
      </c>
      <c r="D22" s="66">
        <v>1</v>
      </c>
      <c r="E22" s="86">
        <v>57.64</v>
      </c>
    </row>
    <row r="23" spans="1:5" x14ac:dyDescent="0.35">
      <c r="A23" s="66">
        <v>17</v>
      </c>
      <c r="B23" t="s">
        <v>75</v>
      </c>
      <c r="C23" t="s">
        <v>20</v>
      </c>
      <c r="D23" s="66">
        <v>1</v>
      </c>
      <c r="E23" s="86">
        <v>54.91</v>
      </c>
    </row>
    <row r="24" spans="1:5" x14ac:dyDescent="0.35">
      <c r="A24" s="66">
        <v>18</v>
      </c>
      <c r="B24" t="s">
        <v>43</v>
      </c>
      <c r="C24" t="s">
        <v>20</v>
      </c>
      <c r="D24" s="66">
        <v>1</v>
      </c>
      <c r="E24" s="86">
        <v>57.83</v>
      </c>
    </row>
  </sheetData>
  <sheetProtection algorithmName="SHA-512" hashValue="GQFysNYziwti/ndJPuKVXjgIx8mEsCwLjItdxEejv4Z0PAmWF4AosqjQKKfBvI3GQviaRVXux/f5aPcbXMl4gw==" saltValue="lX6Q3cDtVnbqUULVSCrzig==" spinCount="100000" sheet="1" objects="1" scenarios="1"/>
  <mergeCells count="1">
    <mergeCell ref="B3:E4"/>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2"/>
  <sheetViews>
    <sheetView showGridLines="0" zoomScaleNormal="100" workbookViewId="0">
      <pane ySplit="1" topLeftCell="A2" activePane="bottomLeft" state="frozen"/>
      <selection pane="bottomLeft" activeCell="F54" sqref="F54"/>
    </sheetView>
  </sheetViews>
  <sheetFormatPr defaultColWidth="8.6328125" defaultRowHeight="14.5" x14ac:dyDescent="0.35"/>
  <cols>
    <col min="1" max="1" width="12.453125" customWidth="1"/>
    <col min="2" max="2" width="38" customWidth="1"/>
    <col min="3" max="3" width="22" customWidth="1"/>
    <col min="4" max="4" width="12" customWidth="1"/>
    <col min="5" max="5" width="25" customWidth="1"/>
    <col min="6" max="6" width="22" customWidth="1"/>
    <col min="7" max="7" width="12.6328125" customWidth="1"/>
    <col min="8" max="9" width="20" customWidth="1"/>
    <col min="10" max="10" width="21.453125" customWidth="1"/>
    <col min="11" max="11" width="27.26953125" customWidth="1"/>
    <col min="12" max="13" width="25.54296875" customWidth="1"/>
    <col min="14" max="14" width="15.81640625" customWidth="1"/>
    <col min="15" max="15" width="28" customWidth="1"/>
    <col min="16" max="16" width="12" customWidth="1"/>
  </cols>
  <sheetData>
    <row r="1" spans="1:16" ht="34.5" customHeight="1" x14ac:dyDescent="0.35">
      <c r="A1" s="36" t="s">
        <v>17</v>
      </c>
      <c r="B1" s="37" t="s">
        <v>18</v>
      </c>
      <c r="C1" s="37" t="s">
        <v>19</v>
      </c>
      <c r="D1" s="37" t="s">
        <v>20</v>
      </c>
      <c r="E1" s="37" t="s">
        <v>21</v>
      </c>
      <c r="F1" s="37" t="s">
        <v>22</v>
      </c>
      <c r="G1" s="37" t="s">
        <v>23</v>
      </c>
      <c r="H1" s="37" t="s">
        <v>24</v>
      </c>
      <c r="I1" s="37" t="s">
        <v>25</v>
      </c>
      <c r="J1" s="37" t="s">
        <v>26</v>
      </c>
      <c r="K1" s="37" t="s">
        <v>27</v>
      </c>
      <c r="L1" s="37" t="s">
        <v>28</v>
      </c>
      <c r="M1" s="37" t="s">
        <v>29</v>
      </c>
      <c r="N1" s="37" t="s">
        <v>30</v>
      </c>
      <c r="O1" s="37" t="s">
        <v>31</v>
      </c>
      <c r="P1" s="38" t="s">
        <v>32</v>
      </c>
    </row>
    <row r="2" spans="1:16" x14ac:dyDescent="0.35">
      <c r="A2" s="31" t="s">
        <v>33</v>
      </c>
      <c r="B2" s="5" t="s">
        <v>34</v>
      </c>
      <c r="C2" s="5" t="s">
        <v>35</v>
      </c>
      <c r="D2" s="5" t="s">
        <v>36</v>
      </c>
      <c r="E2" s="5" t="s">
        <v>37</v>
      </c>
      <c r="F2" s="5" t="s">
        <v>38</v>
      </c>
      <c r="G2" s="4">
        <v>2020</v>
      </c>
      <c r="H2" s="71">
        <v>322099000</v>
      </c>
      <c r="I2" s="71">
        <v>325802000</v>
      </c>
      <c r="J2" s="71">
        <v>3703000</v>
      </c>
      <c r="K2" s="8">
        <v>46</v>
      </c>
      <c r="L2" s="8">
        <v>49</v>
      </c>
      <c r="M2" s="8">
        <v>3</v>
      </c>
      <c r="N2" s="9">
        <v>84</v>
      </c>
      <c r="O2" s="5" t="s">
        <v>39</v>
      </c>
      <c r="P2" s="33" t="s">
        <v>40</v>
      </c>
    </row>
    <row r="3" spans="1:16" x14ac:dyDescent="0.35">
      <c r="A3" s="32" t="s">
        <v>41</v>
      </c>
      <c r="B3" s="11" t="s">
        <v>42</v>
      </c>
      <c r="C3" s="11" t="s">
        <v>35</v>
      </c>
      <c r="D3" s="11" t="s">
        <v>43</v>
      </c>
      <c r="E3" s="11" t="s">
        <v>44</v>
      </c>
      <c r="F3" s="11" t="s">
        <v>45</v>
      </c>
      <c r="G3" s="10">
        <v>2023</v>
      </c>
      <c r="H3" s="71">
        <v>101745000</v>
      </c>
      <c r="I3" s="71">
        <v>108796000</v>
      </c>
      <c r="J3" s="71">
        <v>7051000</v>
      </c>
      <c r="K3" s="13">
        <v>46</v>
      </c>
      <c r="L3" s="13">
        <v>60</v>
      </c>
      <c r="M3" s="13">
        <v>14</v>
      </c>
      <c r="N3" s="14">
        <v>87</v>
      </c>
      <c r="O3" s="11" t="s">
        <v>46</v>
      </c>
      <c r="P3" s="33" t="s">
        <v>40</v>
      </c>
    </row>
    <row r="4" spans="1:16" x14ac:dyDescent="0.35">
      <c r="A4" s="31" t="s">
        <v>47</v>
      </c>
      <c r="B4" s="5" t="s">
        <v>48</v>
      </c>
      <c r="C4" s="5" t="s">
        <v>49</v>
      </c>
      <c r="D4" s="5" t="s">
        <v>50</v>
      </c>
      <c r="E4" s="5" t="s">
        <v>51</v>
      </c>
      <c r="F4" s="5" t="s">
        <v>52</v>
      </c>
      <c r="G4" s="4">
        <v>2021</v>
      </c>
      <c r="H4" s="71">
        <v>353185000</v>
      </c>
      <c r="I4" s="71">
        <v>538370000</v>
      </c>
      <c r="J4" s="71">
        <v>185185000</v>
      </c>
      <c r="K4" s="8">
        <v>33</v>
      </c>
      <c r="L4" s="8">
        <v>35</v>
      </c>
      <c r="M4" s="8">
        <v>2</v>
      </c>
      <c r="N4" s="9">
        <v>78</v>
      </c>
      <c r="O4" s="5" t="s">
        <v>53</v>
      </c>
      <c r="P4" s="33" t="s">
        <v>40</v>
      </c>
    </row>
    <row r="5" spans="1:16" x14ac:dyDescent="0.35">
      <c r="A5" s="32" t="s">
        <v>54</v>
      </c>
      <c r="B5" s="11" t="s">
        <v>55</v>
      </c>
      <c r="C5" s="11" t="s">
        <v>56</v>
      </c>
      <c r="D5" s="11" t="s">
        <v>57</v>
      </c>
      <c r="E5" s="11" t="s">
        <v>37</v>
      </c>
      <c r="F5" s="11" t="s">
        <v>58</v>
      </c>
      <c r="G5" s="10">
        <v>2022</v>
      </c>
      <c r="H5" s="71">
        <v>1095645000</v>
      </c>
      <c r="I5" s="71">
        <v>1680576000</v>
      </c>
      <c r="J5" s="71">
        <v>584931000</v>
      </c>
      <c r="K5" s="13">
        <v>36</v>
      </c>
      <c r="L5" s="13">
        <v>38</v>
      </c>
      <c r="M5" s="13">
        <v>2</v>
      </c>
      <c r="N5" s="14">
        <v>67</v>
      </c>
      <c r="O5" s="11" t="s">
        <v>46</v>
      </c>
      <c r="P5" s="33" t="s">
        <v>40</v>
      </c>
    </row>
    <row r="6" spans="1:16" x14ac:dyDescent="0.35">
      <c r="A6" s="31" t="s">
        <v>59</v>
      </c>
      <c r="B6" s="5" t="s">
        <v>60</v>
      </c>
      <c r="C6" s="5" t="s">
        <v>61</v>
      </c>
      <c r="D6" s="5" t="s">
        <v>43</v>
      </c>
      <c r="E6" s="5" t="s">
        <v>62</v>
      </c>
      <c r="F6" s="5" t="s">
        <v>58</v>
      </c>
      <c r="G6" s="4">
        <v>2020</v>
      </c>
      <c r="H6" s="71">
        <v>1557483000</v>
      </c>
      <c r="I6" s="71">
        <v>2400288000</v>
      </c>
      <c r="J6" s="71">
        <v>842805000</v>
      </c>
      <c r="K6" s="8">
        <v>26</v>
      </c>
      <c r="L6" s="8">
        <v>42</v>
      </c>
      <c r="M6" s="8">
        <v>16</v>
      </c>
      <c r="N6" s="9">
        <v>78</v>
      </c>
      <c r="O6" s="5" t="s">
        <v>63</v>
      </c>
      <c r="P6" s="33" t="s">
        <v>40</v>
      </c>
    </row>
    <row r="7" spans="1:16" x14ac:dyDescent="0.35">
      <c r="A7" s="32" t="s">
        <v>64</v>
      </c>
      <c r="B7" s="11" t="s">
        <v>65</v>
      </c>
      <c r="C7" s="11" t="s">
        <v>56</v>
      </c>
      <c r="D7" s="11" t="s">
        <v>50</v>
      </c>
      <c r="E7" s="11" t="s">
        <v>66</v>
      </c>
      <c r="F7" s="11" t="s">
        <v>52</v>
      </c>
      <c r="G7" s="10">
        <v>2020</v>
      </c>
      <c r="H7" s="71">
        <v>1356842000</v>
      </c>
      <c r="I7" s="71">
        <v>1860355000</v>
      </c>
      <c r="J7" s="71">
        <v>503513000</v>
      </c>
      <c r="K7" s="13">
        <v>16</v>
      </c>
      <c r="L7" s="13">
        <v>23</v>
      </c>
      <c r="M7" s="13">
        <v>7</v>
      </c>
      <c r="N7" s="14">
        <v>51</v>
      </c>
      <c r="O7" s="11" t="s">
        <v>67</v>
      </c>
      <c r="P7" s="33" t="s">
        <v>40</v>
      </c>
    </row>
    <row r="8" spans="1:16" x14ac:dyDescent="0.35">
      <c r="A8" s="31" t="s">
        <v>68</v>
      </c>
      <c r="B8" s="5" t="s">
        <v>69</v>
      </c>
      <c r="C8" s="5" t="s">
        <v>70</v>
      </c>
      <c r="D8" s="5" t="s">
        <v>50</v>
      </c>
      <c r="E8" s="5" t="s">
        <v>71</v>
      </c>
      <c r="F8" s="5" t="s">
        <v>72</v>
      </c>
      <c r="G8" s="4">
        <v>2021</v>
      </c>
      <c r="H8" s="71">
        <v>1979571000</v>
      </c>
      <c r="I8" s="71">
        <v>2640747000</v>
      </c>
      <c r="J8" s="71">
        <v>661176000</v>
      </c>
      <c r="K8" s="8">
        <v>47</v>
      </c>
      <c r="L8" s="8">
        <v>54</v>
      </c>
      <c r="M8" s="8">
        <v>7</v>
      </c>
      <c r="N8" s="9">
        <v>71</v>
      </c>
      <c r="O8" s="5" t="s">
        <v>39</v>
      </c>
      <c r="P8" s="33" t="s">
        <v>40</v>
      </c>
    </row>
    <row r="9" spans="1:16" x14ac:dyDescent="0.35">
      <c r="A9" s="32" t="s">
        <v>73</v>
      </c>
      <c r="B9" s="11" t="s">
        <v>74</v>
      </c>
      <c r="C9" s="11" t="s">
        <v>49</v>
      </c>
      <c r="D9" s="11" t="s">
        <v>75</v>
      </c>
      <c r="E9" s="11" t="s">
        <v>51</v>
      </c>
      <c r="F9" s="11" t="s">
        <v>52</v>
      </c>
      <c r="G9" s="10">
        <v>2019</v>
      </c>
      <c r="H9" s="71">
        <v>461417000</v>
      </c>
      <c r="I9" s="71">
        <v>699391000</v>
      </c>
      <c r="J9" s="71">
        <v>237974000</v>
      </c>
      <c r="K9" s="13">
        <v>32</v>
      </c>
      <c r="L9" s="13">
        <v>37</v>
      </c>
      <c r="M9" s="13">
        <v>5</v>
      </c>
      <c r="N9" s="14">
        <v>93</v>
      </c>
      <c r="O9" s="11" t="s">
        <v>76</v>
      </c>
      <c r="P9" s="33" t="s">
        <v>40</v>
      </c>
    </row>
    <row r="10" spans="1:16" x14ac:dyDescent="0.35">
      <c r="A10" s="31" t="s">
        <v>77</v>
      </c>
      <c r="B10" s="5" t="s">
        <v>78</v>
      </c>
      <c r="C10" s="5" t="s">
        <v>79</v>
      </c>
      <c r="D10" s="5" t="s">
        <v>50</v>
      </c>
      <c r="E10" s="5" t="s">
        <v>37</v>
      </c>
      <c r="F10" s="5" t="s">
        <v>38</v>
      </c>
      <c r="G10" s="4">
        <v>2020</v>
      </c>
      <c r="H10" s="71">
        <v>1502729000</v>
      </c>
      <c r="I10" s="71">
        <v>1913555000</v>
      </c>
      <c r="J10" s="71">
        <v>410826000</v>
      </c>
      <c r="K10" s="8">
        <v>39</v>
      </c>
      <c r="L10" s="8">
        <v>64</v>
      </c>
      <c r="M10" s="8">
        <v>25</v>
      </c>
      <c r="N10" s="9">
        <v>81</v>
      </c>
      <c r="O10" s="5" t="s">
        <v>80</v>
      </c>
      <c r="P10" s="33" t="s">
        <v>40</v>
      </c>
    </row>
    <row r="11" spans="1:16" x14ac:dyDescent="0.35">
      <c r="A11" s="32" t="s">
        <v>81</v>
      </c>
      <c r="B11" s="11" t="s">
        <v>82</v>
      </c>
      <c r="C11" s="11" t="s">
        <v>83</v>
      </c>
      <c r="D11" s="11" t="s">
        <v>84</v>
      </c>
      <c r="E11" s="11" t="s">
        <v>71</v>
      </c>
      <c r="F11" s="11" t="s">
        <v>58</v>
      </c>
      <c r="G11" s="10">
        <v>2019</v>
      </c>
      <c r="H11" s="71">
        <v>1729151000</v>
      </c>
      <c r="I11" s="71">
        <v>1801265000</v>
      </c>
      <c r="J11" s="71">
        <v>72114000</v>
      </c>
      <c r="K11" s="13">
        <v>22</v>
      </c>
      <c r="L11" s="13">
        <v>34</v>
      </c>
      <c r="M11" s="13">
        <v>12</v>
      </c>
      <c r="N11" s="14">
        <v>84</v>
      </c>
      <c r="O11" s="11" t="s">
        <v>46</v>
      </c>
      <c r="P11" s="33" t="s">
        <v>40</v>
      </c>
    </row>
    <row r="12" spans="1:16" x14ac:dyDescent="0.35">
      <c r="A12" s="31" t="s">
        <v>85</v>
      </c>
      <c r="B12" s="5" t="s">
        <v>86</v>
      </c>
      <c r="C12" s="5" t="s">
        <v>87</v>
      </c>
      <c r="D12" s="5" t="s">
        <v>88</v>
      </c>
      <c r="E12" s="5" t="s">
        <v>89</v>
      </c>
      <c r="F12" s="5" t="s">
        <v>72</v>
      </c>
      <c r="G12" s="4">
        <v>2023</v>
      </c>
      <c r="H12" s="71">
        <v>540258000</v>
      </c>
      <c r="I12" s="71">
        <v>692576000</v>
      </c>
      <c r="J12" s="71">
        <v>152318000</v>
      </c>
      <c r="K12" s="8">
        <v>12</v>
      </c>
      <c r="L12" s="8">
        <v>18</v>
      </c>
      <c r="M12" s="8">
        <v>6</v>
      </c>
      <c r="N12" s="9">
        <v>44</v>
      </c>
      <c r="O12" s="5" t="s">
        <v>67</v>
      </c>
      <c r="P12" s="34" t="s">
        <v>90</v>
      </c>
    </row>
    <row r="13" spans="1:16" x14ac:dyDescent="0.35">
      <c r="A13" s="32" t="s">
        <v>91</v>
      </c>
      <c r="B13" s="11" t="s">
        <v>92</v>
      </c>
      <c r="C13" s="11" t="s">
        <v>56</v>
      </c>
      <c r="D13" s="11" t="s">
        <v>93</v>
      </c>
      <c r="E13" s="11" t="s">
        <v>37</v>
      </c>
      <c r="F13" s="11" t="s">
        <v>72</v>
      </c>
      <c r="G13" s="10">
        <v>2020</v>
      </c>
      <c r="H13" s="71">
        <v>934761000</v>
      </c>
      <c r="I13" s="71">
        <v>1422977000</v>
      </c>
      <c r="J13" s="71">
        <v>488216000</v>
      </c>
      <c r="K13" s="13">
        <v>28</v>
      </c>
      <c r="L13" s="13">
        <v>47</v>
      </c>
      <c r="M13" s="13">
        <v>19</v>
      </c>
      <c r="N13" s="14">
        <v>52</v>
      </c>
      <c r="O13" s="11" t="s">
        <v>67</v>
      </c>
      <c r="P13" s="33" t="s">
        <v>40</v>
      </c>
    </row>
    <row r="14" spans="1:16" x14ac:dyDescent="0.35">
      <c r="A14" s="31" t="s">
        <v>94</v>
      </c>
      <c r="B14" s="5" t="s">
        <v>95</v>
      </c>
      <c r="C14" s="5" t="s">
        <v>96</v>
      </c>
      <c r="D14" s="5" t="s">
        <v>84</v>
      </c>
      <c r="E14" s="5" t="s">
        <v>89</v>
      </c>
      <c r="F14" s="5" t="s">
        <v>38</v>
      </c>
      <c r="G14" s="4">
        <v>2020</v>
      </c>
      <c r="H14" s="71">
        <v>779132000</v>
      </c>
      <c r="I14" s="71">
        <v>815696000</v>
      </c>
      <c r="J14" s="71">
        <v>36564000</v>
      </c>
      <c r="K14" s="8">
        <v>45</v>
      </c>
      <c r="L14" s="8">
        <v>74</v>
      </c>
      <c r="M14" s="8">
        <v>29</v>
      </c>
      <c r="N14" s="9">
        <v>71</v>
      </c>
      <c r="O14" s="5" t="s">
        <v>97</v>
      </c>
      <c r="P14" s="33" t="s">
        <v>40</v>
      </c>
    </row>
    <row r="15" spans="1:16" x14ac:dyDescent="0.35">
      <c r="A15" s="32" t="s">
        <v>98</v>
      </c>
      <c r="B15" s="11" t="s">
        <v>99</v>
      </c>
      <c r="C15" s="11" t="s">
        <v>35</v>
      </c>
      <c r="D15" s="11" t="s">
        <v>75</v>
      </c>
      <c r="E15" s="11" t="s">
        <v>37</v>
      </c>
      <c r="F15" s="11" t="s">
        <v>38</v>
      </c>
      <c r="G15" s="10">
        <v>2019</v>
      </c>
      <c r="H15" s="71">
        <v>519700000</v>
      </c>
      <c r="I15" s="71">
        <v>670628000</v>
      </c>
      <c r="J15" s="71">
        <v>150928000</v>
      </c>
      <c r="K15" s="13">
        <v>17</v>
      </c>
      <c r="L15" s="13">
        <v>18</v>
      </c>
      <c r="M15" s="13">
        <v>1</v>
      </c>
      <c r="N15" s="14">
        <v>92</v>
      </c>
      <c r="O15" s="11" t="s">
        <v>53</v>
      </c>
      <c r="P15" s="33" t="s">
        <v>40</v>
      </c>
    </row>
    <row r="16" spans="1:16" x14ac:dyDescent="0.35">
      <c r="A16" s="31" t="s">
        <v>100</v>
      </c>
      <c r="B16" s="5" t="s">
        <v>101</v>
      </c>
      <c r="C16" s="5" t="s">
        <v>83</v>
      </c>
      <c r="D16" s="5" t="s">
        <v>50</v>
      </c>
      <c r="E16" s="5" t="s">
        <v>71</v>
      </c>
      <c r="F16" s="5" t="s">
        <v>45</v>
      </c>
      <c r="G16" s="4">
        <v>2020</v>
      </c>
      <c r="H16" s="71">
        <v>566860000</v>
      </c>
      <c r="I16" s="71">
        <v>835245000</v>
      </c>
      <c r="J16" s="71">
        <v>268385000</v>
      </c>
      <c r="K16" s="8">
        <v>39</v>
      </c>
      <c r="L16" s="8">
        <v>65</v>
      </c>
      <c r="M16" s="8">
        <v>26</v>
      </c>
      <c r="N16" s="9">
        <v>99</v>
      </c>
      <c r="O16" s="5" t="s">
        <v>102</v>
      </c>
      <c r="P16" s="33" t="s">
        <v>40</v>
      </c>
    </row>
    <row r="17" spans="1:16" x14ac:dyDescent="0.35">
      <c r="A17" s="32" t="s">
        <v>103</v>
      </c>
      <c r="B17" s="11" t="s">
        <v>104</v>
      </c>
      <c r="C17" s="11" t="s">
        <v>96</v>
      </c>
      <c r="D17" s="11" t="s">
        <v>88</v>
      </c>
      <c r="E17" s="11" t="s">
        <v>66</v>
      </c>
      <c r="F17" s="11" t="s">
        <v>72</v>
      </c>
      <c r="G17" s="10">
        <v>2023</v>
      </c>
      <c r="H17" s="71">
        <v>930398000</v>
      </c>
      <c r="I17" s="71">
        <v>1022269000</v>
      </c>
      <c r="J17" s="71">
        <v>91871000</v>
      </c>
      <c r="K17" s="13">
        <v>16</v>
      </c>
      <c r="L17" s="13">
        <v>20</v>
      </c>
      <c r="M17" s="13">
        <v>4</v>
      </c>
      <c r="N17" s="14">
        <v>100</v>
      </c>
      <c r="O17" s="11" t="s">
        <v>102</v>
      </c>
      <c r="P17" s="35" t="s">
        <v>105</v>
      </c>
    </row>
    <row r="18" spans="1:16" x14ac:dyDescent="0.35">
      <c r="A18" s="31" t="s">
        <v>106</v>
      </c>
      <c r="B18" s="5" t="s">
        <v>107</v>
      </c>
      <c r="C18" s="5" t="s">
        <v>70</v>
      </c>
      <c r="D18" s="5" t="s">
        <v>36</v>
      </c>
      <c r="E18" s="5" t="s">
        <v>62</v>
      </c>
      <c r="F18" s="5" t="s">
        <v>58</v>
      </c>
      <c r="G18" s="4">
        <v>2020</v>
      </c>
      <c r="H18" s="71">
        <v>181431000</v>
      </c>
      <c r="I18" s="71">
        <v>175779000</v>
      </c>
      <c r="J18" s="71">
        <v>-5652000</v>
      </c>
      <c r="K18" s="8">
        <v>33</v>
      </c>
      <c r="L18" s="8">
        <v>35</v>
      </c>
      <c r="M18" s="8">
        <v>2</v>
      </c>
      <c r="N18" s="9">
        <v>60</v>
      </c>
      <c r="O18" s="5" t="s">
        <v>63</v>
      </c>
      <c r="P18" s="33" t="s">
        <v>40</v>
      </c>
    </row>
    <row r="19" spans="1:16" x14ac:dyDescent="0.35">
      <c r="A19" s="32" t="s">
        <v>108</v>
      </c>
      <c r="B19" s="11" t="s">
        <v>109</v>
      </c>
      <c r="C19" s="11" t="s">
        <v>79</v>
      </c>
      <c r="D19" s="11" t="s">
        <v>43</v>
      </c>
      <c r="E19" s="11" t="s">
        <v>110</v>
      </c>
      <c r="F19" s="11" t="s">
        <v>38</v>
      </c>
      <c r="G19" s="10">
        <v>2023</v>
      </c>
      <c r="H19" s="71">
        <v>1173613000</v>
      </c>
      <c r="I19" s="71">
        <v>1286043000</v>
      </c>
      <c r="J19" s="71">
        <v>112430000</v>
      </c>
      <c r="K19" s="13">
        <v>42</v>
      </c>
      <c r="L19" s="13">
        <v>66</v>
      </c>
      <c r="M19" s="13">
        <v>24</v>
      </c>
      <c r="N19" s="14">
        <v>54</v>
      </c>
      <c r="O19" s="11" t="s">
        <v>53</v>
      </c>
      <c r="P19" s="33" t="s">
        <v>40</v>
      </c>
    </row>
    <row r="20" spans="1:16" x14ac:dyDescent="0.35">
      <c r="A20" s="31" t="s">
        <v>111</v>
      </c>
      <c r="B20" s="5" t="s">
        <v>112</v>
      </c>
      <c r="C20" s="5" t="s">
        <v>87</v>
      </c>
      <c r="D20" s="5" t="s">
        <v>75</v>
      </c>
      <c r="E20" s="5" t="s">
        <v>51</v>
      </c>
      <c r="F20" s="5" t="s">
        <v>72</v>
      </c>
      <c r="G20" s="4">
        <v>2022</v>
      </c>
      <c r="H20" s="71">
        <v>1734482000</v>
      </c>
      <c r="I20" s="71">
        <v>1704133000</v>
      </c>
      <c r="J20" s="71">
        <v>-30349000</v>
      </c>
      <c r="K20" s="8">
        <v>18</v>
      </c>
      <c r="L20" s="8">
        <v>19</v>
      </c>
      <c r="M20" s="8">
        <v>1</v>
      </c>
      <c r="N20" s="9">
        <v>73</v>
      </c>
      <c r="O20" s="5" t="s">
        <v>53</v>
      </c>
      <c r="P20" s="33" t="s">
        <v>40</v>
      </c>
    </row>
    <row r="21" spans="1:16" x14ac:dyDescent="0.35">
      <c r="A21" s="32" t="s">
        <v>113</v>
      </c>
      <c r="B21" s="11" t="s">
        <v>114</v>
      </c>
      <c r="C21" s="11" t="s">
        <v>70</v>
      </c>
      <c r="D21" s="11" t="s">
        <v>43</v>
      </c>
      <c r="E21" s="11" t="s">
        <v>110</v>
      </c>
      <c r="F21" s="11" t="s">
        <v>72</v>
      </c>
      <c r="G21" s="10">
        <v>2020</v>
      </c>
      <c r="H21" s="71">
        <v>872669000</v>
      </c>
      <c r="I21" s="71">
        <v>974882000</v>
      </c>
      <c r="J21" s="71">
        <v>102213000</v>
      </c>
      <c r="K21" s="13">
        <v>27</v>
      </c>
      <c r="L21" s="13">
        <v>44</v>
      </c>
      <c r="M21" s="13">
        <v>17</v>
      </c>
      <c r="N21" s="14">
        <v>39</v>
      </c>
      <c r="O21" s="11" t="s">
        <v>97</v>
      </c>
      <c r="P21" s="34" t="s">
        <v>90</v>
      </c>
    </row>
    <row r="22" spans="1:16" x14ac:dyDescent="0.35">
      <c r="A22" s="31" t="s">
        <v>115</v>
      </c>
      <c r="B22" s="5" t="s">
        <v>116</v>
      </c>
      <c r="C22" s="5" t="s">
        <v>35</v>
      </c>
      <c r="D22" s="5" t="s">
        <v>36</v>
      </c>
      <c r="E22" s="5" t="s">
        <v>110</v>
      </c>
      <c r="F22" s="5" t="s">
        <v>58</v>
      </c>
      <c r="G22" s="4">
        <v>2019</v>
      </c>
      <c r="H22" s="71">
        <v>1856416000</v>
      </c>
      <c r="I22" s="71">
        <v>2708915000</v>
      </c>
      <c r="J22" s="71">
        <v>852499000</v>
      </c>
      <c r="K22" s="8">
        <v>22</v>
      </c>
      <c r="L22" s="8">
        <v>28</v>
      </c>
      <c r="M22" s="8">
        <v>6</v>
      </c>
      <c r="N22" s="9">
        <v>91</v>
      </c>
      <c r="O22" s="5" t="s">
        <v>102</v>
      </c>
      <c r="P22" s="33" t="s">
        <v>40</v>
      </c>
    </row>
    <row r="23" spans="1:16" x14ac:dyDescent="0.35">
      <c r="A23" s="32" t="s">
        <v>117</v>
      </c>
      <c r="B23" s="11" t="s">
        <v>118</v>
      </c>
      <c r="C23" s="11" t="s">
        <v>49</v>
      </c>
      <c r="D23" s="11" t="s">
        <v>50</v>
      </c>
      <c r="E23" s="11" t="s">
        <v>51</v>
      </c>
      <c r="F23" s="11" t="s">
        <v>58</v>
      </c>
      <c r="G23" s="10">
        <v>2022</v>
      </c>
      <c r="H23" s="71">
        <v>567146000</v>
      </c>
      <c r="I23" s="71">
        <v>805598000</v>
      </c>
      <c r="J23" s="71">
        <v>238452000</v>
      </c>
      <c r="K23" s="13">
        <v>41</v>
      </c>
      <c r="L23" s="13">
        <v>49</v>
      </c>
      <c r="M23" s="13">
        <v>8</v>
      </c>
      <c r="N23" s="14">
        <v>92</v>
      </c>
      <c r="O23" s="11" t="s">
        <v>119</v>
      </c>
      <c r="P23" s="33" t="s">
        <v>40</v>
      </c>
    </row>
    <row r="24" spans="1:16" x14ac:dyDescent="0.35">
      <c r="A24" s="31" t="s">
        <v>120</v>
      </c>
      <c r="B24" s="5" t="s">
        <v>121</v>
      </c>
      <c r="C24" s="5" t="s">
        <v>96</v>
      </c>
      <c r="D24" s="5" t="s">
        <v>43</v>
      </c>
      <c r="E24" s="5" t="s">
        <v>122</v>
      </c>
      <c r="F24" s="5" t="s">
        <v>45</v>
      </c>
      <c r="G24" s="4">
        <v>2023</v>
      </c>
      <c r="H24" s="71">
        <v>168867000</v>
      </c>
      <c r="I24" s="71">
        <v>192198000</v>
      </c>
      <c r="J24" s="71">
        <v>23331000</v>
      </c>
      <c r="K24" s="8">
        <v>15</v>
      </c>
      <c r="L24" s="8">
        <v>21</v>
      </c>
      <c r="M24" s="8">
        <v>6</v>
      </c>
      <c r="N24" s="9">
        <v>94</v>
      </c>
      <c r="O24" s="5" t="s">
        <v>67</v>
      </c>
      <c r="P24" s="33" t="s">
        <v>40</v>
      </c>
    </row>
    <row r="25" spans="1:16" x14ac:dyDescent="0.35">
      <c r="A25" s="32" t="s">
        <v>123</v>
      </c>
      <c r="B25" s="11" t="s">
        <v>124</v>
      </c>
      <c r="C25" s="11" t="s">
        <v>49</v>
      </c>
      <c r="D25" s="11" t="s">
        <v>84</v>
      </c>
      <c r="E25" s="11" t="s">
        <v>62</v>
      </c>
      <c r="F25" s="11" t="s">
        <v>38</v>
      </c>
      <c r="G25" s="10">
        <v>2019</v>
      </c>
      <c r="H25" s="71">
        <v>1210318000</v>
      </c>
      <c r="I25" s="71">
        <v>1640135000</v>
      </c>
      <c r="J25" s="71">
        <v>429817000</v>
      </c>
      <c r="K25" s="13">
        <v>27</v>
      </c>
      <c r="L25" s="13">
        <v>35</v>
      </c>
      <c r="M25" s="13">
        <v>8</v>
      </c>
      <c r="N25" s="14">
        <v>61</v>
      </c>
      <c r="O25" s="11" t="s">
        <v>46</v>
      </c>
      <c r="P25" s="33" t="s">
        <v>40</v>
      </c>
    </row>
    <row r="26" spans="1:16" x14ac:dyDescent="0.35">
      <c r="A26" s="31" t="s">
        <v>125</v>
      </c>
      <c r="B26" s="5" t="s">
        <v>126</v>
      </c>
      <c r="C26" s="5" t="s">
        <v>49</v>
      </c>
      <c r="D26" s="5" t="s">
        <v>57</v>
      </c>
      <c r="E26" s="5" t="s">
        <v>62</v>
      </c>
      <c r="F26" s="5" t="s">
        <v>72</v>
      </c>
      <c r="G26" s="4">
        <v>2023</v>
      </c>
      <c r="H26" s="71">
        <v>1152193000</v>
      </c>
      <c r="I26" s="71">
        <v>1313295000</v>
      </c>
      <c r="J26" s="71">
        <v>161102000</v>
      </c>
      <c r="K26" s="8">
        <v>28</v>
      </c>
      <c r="L26" s="8">
        <v>32</v>
      </c>
      <c r="M26" s="8">
        <v>4</v>
      </c>
      <c r="N26" s="9">
        <v>70</v>
      </c>
      <c r="O26" s="5" t="s">
        <v>102</v>
      </c>
      <c r="P26" s="33" t="s">
        <v>40</v>
      </c>
    </row>
    <row r="27" spans="1:16" x14ac:dyDescent="0.35">
      <c r="A27" s="32" t="s">
        <v>127</v>
      </c>
      <c r="B27" s="11" t="s">
        <v>128</v>
      </c>
      <c r="C27" s="11" t="s">
        <v>87</v>
      </c>
      <c r="D27" s="11" t="s">
        <v>50</v>
      </c>
      <c r="E27" s="11" t="s">
        <v>37</v>
      </c>
      <c r="F27" s="11" t="s">
        <v>72</v>
      </c>
      <c r="G27" s="10">
        <v>2021</v>
      </c>
      <c r="H27" s="71">
        <v>1861586000</v>
      </c>
      <c r="I27" s="71">
        <v>2813677000</v>
      </c>
      <c r="J27" s="71">
        <v>952091000</v>
      </c>
      <c r="K27" s="13">
        <v>12</v>
      </c>
      <c r="L27" s="13">
        <v>16</v>
      </c>
      <c r="M27" s="13">
        <v>4</v>
      </c>
      <c r="N27" s="14">
        <v>42</v>
      </c>
      <c r="O27" s="11" t="s">
        <v>53</v>
      </c>
      <c r="P27" s="34" t="s">
        <v>90</v>
      </c>
    </row>
    <row r="28" spans="1:16" x14ac:dyDescent="0.35">
      <c r="A28" s="31" t="s">
        <v>129</v>
      </c>
      <c r="B28" s="5" t="s">
        <v>130</v>
      </c>
      <c r="C28" s="5" t="s">
        <v>70</v>
      </c>
      <c r="D28" s="5" t="s">
        <v>84</v>
      </c>
      <c r="E28" s="5" t="s">
        <v>37</v>
      </c>
      <c r="F28" s="5" t="s">
        <v>38</v>
      </c>
      <c r="G28" s="4">
        <v>2021</v>
      </c>
      <c r="H28" s="71">
        <v>1767685000</v>
      </c>
      <c r="I28" s="71">
        <v>2611864000</v>
      </c>
      <c r="J28" s="71">
        <v>844179000</v>
      </c>
      <c r="K28" s="8">
        <v>35</v>
      </c>
      <c r="L28" s="8">
        <v>42</v>
      </c>
      <c r="M28" s="8">
        <v>7</v>
      </c>
      <c r="N28" s="9">
        <v>86</v>
      </c>
      <c r="O28" s="5" t="s">
        <v>67</v>
      </c>
      <c r="P28" s="33" t="s">
        <v>40</v>
      </c>
    </row>
    <row r="29" spans="1:16" x14ac:dyDescent="0.35">
      <c r="A29" s="32" t="s">
        <v>131</v>
      </c>
      <c r="B29" s="11" t="s">
        <v>132</v>
      </c>
      <c r="C29" s="11" t="s">
        <v>96</v>
      </c>
      <c r="D29" s="11" t="s">
        <v>57</v>
      </c>
      <c r="E29" s="11" t="s">
        <v>110</v>
      </c>
      <c r="F29" s="11" t="s">
        <v>58</v>
      </c>
      <c r="G29" s="10">
        <v>2023</v>
      </c>
      <c r="H29" s="71">
        <v>633789000</v>
      </c>
      <c r="I29" s="71">
        <v>854369000</v>
      </c>
      <c r="J29" s="71">
        <v>220580000</v>
      </c>
      <c r="K29" s="13">
        <v>20</v>
      </c>
      <c r="L29" s="13">
        <v>24</v>
      </c>
      <c r="M29" s="13">
        <v>4</v>
      </c>
      <c r="N29" s="14">
        <v>43</v>
      </c>
      <c r="O29" s="11" t="s">
        <v>67</v>
      </c>
      <c r="P29" s="34" t="s">
        <v>90</v>
      </c>
    </row>
    <row r="30" spans="1:16" x14ac:dyDescent="0.35">
      <c r="A30" s="31" t="s">
        <v>133</v>
      </c>
      <c r="B30" s="5" t="s">
        <v>134</v>
      </c>
      <c r="C30" s="5" t="s">
        <v>96</v>
      </c>
      <c r="D30" s="5" t="s">
        <v>135</v>
      </c>
      <c r="E30" s="5" t="s">
        <v>89</v>
      </c>
      <c r="F30" s="5" t="s">
        <v>38</v>
      </c>
      <c r="G30" s="4">
        <v>2021</v>
      </c>
      <c r="H30" s="71">
        <v>447015000</v>
      </c>
      <c r="I30" s="71">
        <v>594773000</v>
      </c>
      <c r="J30" s="71">
        <v>147758000</v>
      </c>
      <c r="K30" s="8">
        <v>28</v>
      </c>
      <c r="L30" s="8">
        <v>38</v>
      </c>
      <c r="M30" s="8">
        <v>10</v>
      </c>
      <c r="N30" s="9">
        <v>62</v>
      </c>
      <c r="O30" s="5" t="s">
        <v>39</v>
      </c>
      <c r="P30" s="33" t="s">
        <v>40</v>
      </c>
    </row>
    <row r="31" spans="1:16" x14ac:dyDescent="0.35">
      <c r="A31" s="32" t="s">
        <v>136</v>
      </c>
      <c r="B31" s="11" t="s">
        <v>137</v>
      </c>
      <c r="C31" s="11" t="s">
        <v>87</v>
      </c>
      <c r="D31" s="11" t="s">
        <v>135</v>
      </c>
      <c r="E31" s="11" t="s">
        <v>122</v>
      </c>
      <c r="F31" s="11" t="s">
        <v>58</v>
      </c>
      <c r="G31" s="10">
        <v>2021</v>
      </c>
      <c r="H31" s="71">
        <v>1553682000</v>
      </c>
      <c r="I31" s="71">
        <v>2069921000</v>
      </c>
      <c r="J31" s="71">
        <v>516239000</v>
      </c>
      <c r="K31" s="13">
        <v>28</v>
      </c>
      <c r="L31" s="13">
        <v>31</v>
      </c>
      <c r="M31" s="13">
        <v>3</v>
      </c>
      <c r="N31" s="14">
        <v>86</v>
      </c>
      <c r="O31" s="11" t="s">
        <v>67</v>
      </c>
      <c r="P31" s="33" t="s">
        <v>40</v>
      </c>
    </row>
    <row r="32" spans="1:16" x14ac:dyDescent="0.35">
      <c r="A32" s="31" t="s">
        <v>138</v>
      </c>
      <c r="B32" s="5" t="s">
        <v>139</v>
      </c>
      <c r="C32" s="5" t="s">
        <v>87</v>
      </c>
      <c r="D32" s="5" t="s">
        <v>84</v>
      </c>
      <c r="E32" s="5" t="s">
        <v>122</v>
      </c>
      <c r="F32" s="5" t="s">
        <v>58</v>
      </c>
      <c r="G32" s="4">
        <v>2019</v>
      </c>
      <c r="H32" s="71">
        <v>1892849000</v>
      </c>
      <c r="I32" s="71">
        <v>2583004000</v>
      </c>
      <c r="J32" s="71">
        <v>690155000</v>
      </c>
      <c r="K32" s="8">
        <v>21</v>
      </c>
      <c r="L32" s="8">
        <v>29</v>
      </c>
      <c r="M32" s="8">
        <v>8</v>
      </c>
      <c r="N32" s="9">
        <v>77</v>
      </c>
      <c r="O32" s="5" t="s">
        <v>46</v>
      </c>
      <c r="P32" s="33" t="s">
        <v>40</v>
      </c>
    </row>
    <row r="33" spans="1:16" x14ac:dyDescent="0.35">
      <c r="A33" s="32" t="s">
        <v>140</v>
      </c>
      <c r="B33" s="11" t="s">
        <v>141</v>
      </c>
      <c r="C33" s="11" t="s">
        <v>83</v>
      </c>
      <c r="D33" s="11" t="s">
        <v>88</v>
      </c>
      <c r="E33" s="11" t="s">
        <v>142</v>
      </c>
      <c r="F33" s="11" t="s">
        <v>58</v>
      </c>
      <c r="G33" s="10">
        <v>2021</v>
      </c>
      <c r="H33" s="71">
        <v>761070000</v>
      </c>
      <c r="I33" s="71">
        <v>1149104000</v>
      </c>
      <c r="J33" s="71">
        <v>388034000</v>
      </c>
      <c r="K33" s="13">
        <v>14</v>
      </c>
      <c r="L33" s="13">
        <v>23</v>
      </c>
      <c r="M33" s="13">
        <v>9</v>
      </c>
      <c r="N33" s="14">
        <v>56</v>
      </c>
      <c r="O33" s="11" t="s">
        <v>102</v>
      </c>
      <c r="P33" s="33" t="s">
        <v>40</v>
      </c>
    </row>
    <row r="34" spans="1:16" x14ac:dyDescent="0.35">
      <c r="A34" s="31" t="s">
        <v>143</v>
      </c>
      <c r="B34" s="5" t="s">
        <v>144</v>
      </c>
      <c r="C34" s="5" t="s">
        <v>35</v>
      </c>
      <c r="D34" s="5" t="s">
        <v>75</v>
      </c>
      <c r="E34" s="5" t="s">
        <v>110</v>
      </c>
      <c r="F34" s="5" t="s">
        <v>72</v>
      </c>
      <c r="G34" s="4">
        <v>2023</v>
      </c>
      <c r="H34" s="71">
        <v>1511481000</v>
      </c>
      <c r="I34" s="71">
        <v>2275472000</v>
      </c>
      <c r="J34" s="71">
        <v>763991000</v>
      </c>
      <c r="K34" s="8">
        <v>27</v>
      </c>
      <c r="L34" s="8">
        <v>43</v>
      </c>
      <c r="M34" s="8">
        <v>16</v>
      </c>
      <c r="N34" s="9">
        <v>52</v>
      </c>
      <c r="O34" s="5" t="s">
        <v>76</v>
      </c>
      <c r="P34" s="33" t="s">
        <v>40</v>
      </c>
    </row>
    <row r="35" spans="1:16" x14ac:dyDescent="0.35">
      <c r="A35" s="32" t="s">
        <v>145</v>
      </c>
      <c r="B35" s="11" t="s">
        <v>146</v>
      </c>
      <c r="C35" s="11" t="s">
        <v>83</v>
      </c>
      <c r="D35" s="11" t="s">
        <v>75</v>
      </c>
      <c r="E35" s="11" t="s">
        <v>51</v>
      </c>
      <c r="F35" s="11" t="s">
        <v>38</v>
      </c>
      <c r="G35" s="10">
        <v>2021</v>
      </c>
      <c r="H35" s="71">
        <v>360436000</v>
      </c>
      <c r="I35" s="71">
        <v>494074000</v>
      </c>
      <c r="J35" s="71">
        <v>133638000</v>
      </c>
      <c r="K35" s="13">
        <v>36</v>
      </c>
      <c r="L35" s="13">
        <v>58</v>
      </c>
      <c r="M35" s="13">
        <v>22</v>
      </c>
      <c r="N35" s="14">
        <v>90</v>
      </c>
      <c r="O35" s="11" t="s">
        <v>102</v>
      </c>
      <c r="P35" s="33" t="s">
        <v>40</v>
      </c>
    </row>
    <row r="36" spans="1:16" x14ac:dyDescent="0.35">
      <c r="A36" s="31" t="s">
        <v>147</v>
      </c>
      <c r="B36" s="5" t="s">
        <v>148</v>
      </c>
      <c r="C36" s="5" t="s">
        <v>79</v>
      </c>
      <c r="D36" s="5" t="s">
        <v>75</v>
      </c>
      <c r="E36" s="5" t="s">
        <v>37</v>
      </c>
      <c r="F36" s="5" t="s">
        <v>38</v>
      </c>
      <c r="G36" s="4">
        <v>2020</v>
      </c>
      <c r="H36" s="71">
        <v>96146000</v>
      </c>
      <c r="I36" s="71">
        <v>102480000</v>
      </c>
      <c r="J36" s="71">
        <v>6334000</v>
      </c>
      <c r="K36" s="8">
        <v>33</v>
      </c>
      <c r="L36" s="8">
        <v>39</v>
      </c>
      <c r="M36" s="8">
        <v>6</v>
      </c>
      <c r="N36" s="9">
        <v>38</v>
      </c>
      <c r="O36" s="5" t="s">
        <v>63</v>
      </c>
      <c r="P36" s="34" t="s">
        <v>90</v>
      </c>
    </row>
    <row r="37" spans="1:16" x14ac:dyDescent="0.35">
      <c r="A37" s="32" t="s">
        <v>149</v>
      </c>
      <c r="B37" s="11" t="s">
        <v>150</v>
      </c>
      <c r="C37" s="11" t="s">
        <v>151</v>
      </c>
      <c r="D37" s="11" t="s">
        <v>88</v>
      </c>
      <c r="E37" s="11" t="s">
        <v>110</v>
      </c>
      <c r="F37" s="11" t="s">
        <v>52</v>
      </c>
      <c r="G37" s="10">
        <v>2019</v>
      </c>
      <c r="H37" s="71">
        <v>274916000</v>
      </c>
      <c r="I37" s="71">
        <v>421237000</v>
      </c>
      <c r="J37" s="71">
        <v>146321000</v>
      </c>
      <c r="K37" s="13">
        <v>23</v>
      </c>
      <c r="L37" s="13">
        <v>32</v>
      </c>
      <c r="M37" s="13">
        <v>9</v>
      </c>
      <c r="N37" s="14">
        <v>63</v>
      </c>
      <c r="O37" s="11" t="s">
        <v>39</v>
      </c>
      <c r="P37" s="33" t="s">
        <v>40</v>
      </c>
    </row>
    <row r="38" spans="1:16" x14ac:dyDescent="0.35">
      <c r="A38" s="31" t="s">
        <v>152</v>
      </c>
      <c r="B38" s="5" t="s">
        <v>153</v>
      </c>
      <c r="C38" s="5" t="s">
        <v>61</v>
      </c>
      <c r="D38" s="5" t="s">
        <v>88</v>
      </c>
      <c r="E38" s="5" t="s">
        <v>66</v>
      </c>
      <c r="F38" s="5" t="s">
        <v>52</v>
      </c>
      <c r="G38" s="4">
        <v>2022</v>
      </c>
      <c r="H38" s="71">
        <v>1232107000</v>
      </c>
      <c r="I38" s="71">
        <v>1548578000</v>
      </c>
      <c r="J38" s="71">
        <v>316471000</v>
      </c>
      <c r="K38" s="8">
        <v>36</v>
      </c>
      <c r="L38" s="8">
        <v>59</v>
      </c>
      <c r="M38" s="8">
        <v>23</v>
      </c>
      <c r="N38" s="9">
        <v>54</v>
      </c>
      <c r="O38" s="5" t="s">
        <v>63</v>
      </c>
      <c r="P38" s="33" t="s">
        <v>40</v>
      </c>
    </row>
    <row r="39" spans="1:16" x14ac:dyDescent="0.35">
      <c r="A39" s="32" t="s">
        <v>154</v>
      </c>
      <c r="B39" s="11" t="s">
        <v>155</v>
      </c>
      <c r="C39" s="11" t="s">
        <v>87</v>
      </c>
      <c r="D39" s="11" t="s">
        <v>36</v>
      </c>
      <c r="E39" s="11" t="s">
        <v>110</v>
      </c>
      <c r="F39" s="11" t="s">
        <v>45</v>
      </c>
      <c r="G39" s="10">
        <v>2020</v>
      </c>
      <c r="H39" s="71">
        <v>760232000</v>
      </c>
      <c r="I39" s="71">
        <v>754138000</v>
      </c>
      <c r="J39" s="71">
        <v>-6094000</v>
      </c>
      <c r="K39" s="13">
        <v>33</v>
      </c>
      <c r="L39" s="13">
        <v>47</v>
      </c>
      <c r="M39" s="13">
        <v>14</v>
      </c>
      <c r="N39" s="14">
        <v>45</v>
      </c>
      <c r="O39" s="11" t="s">
        <v>63</v>
      </c>
      <c r="P39" s="34" t="s">
        <v>90</v>
      </c>
    </row>
    <row r="40" spans="1:16" x14ac:dyDescent="0.35">
      <c r="A40" s="31" t="s">
        <v>156</v>
      </c>
      <c r="B40" s="5" t="s">
        <v>104</v>
      </c>
      <c r="C40" s="5" t="s">
        <v>96</v>
      </c>
      <c r="D40" s="5" t="s">
        <v>88</v>
      </c>
      <c r="E40" s="5" t="s">
        <v>66</v>
      </c>
      <c r="F40" s="5" t="s">
        <v>72</v>
      </c>
      <c r="G40" s="4">
        <v>2021</v>
      </c>
      <c r="H40" s="71">
        <v>1131104000</v>
      </c>
      <c r="I40" s="71">
        <v>1204743000</v>
      </c>
      <c r="J40" s="71">
        <v>73639000</v>
      </c>
      <c r="K40" s="8">
        <v>36</v>
      </c>
      <c r="L40" s="8">
        <v>53</v>
      </c>
      <c r="M40" s="8">
        <v>17</v>
      </c>
      <c r="N40" s="9">
        <v>52</v>
      </c>
      <c r="O40" s="5" t="s">
        <v>46</v>
      </c>
      <c r="P40" s="33" t="s">
        <v>40</v>
      </c>
    </row>
    <row r="41" spans="1:16" x14ac:dyDescent="0.35">
      <c r="A41" s="32" t="s">
        <v>157</v>
      </c>
      <c r="B41" s="11" t="s">
        <v>104</v>
      </c>
      <c r="C41" s="11" t="s">
        <v>96</v>
      </c>
      <c r="D41" s="11" t="s">
        <v>88</v>
      </c>
      <c r="E41" s="11" t="s">
        <v>110</v>
      </c>
      <c r="F41" s="11" t="s">
        <v>58</v>
      </c>
      <c r="G41" s="10">
        <v>2021</v>
      </c>
      <c r="H41" s="71">
        <v>609482000</v>
      </c>
      <c r="I41" s="71">
        <v>736213000</v>
      </c>
      <c r="J41" s="71">
        <v>126731000</v>
      </c>
      <c r="K41" s="13">
        <v>32</v>
      </c>
      <c r="L41" s="13">
        <v>42</v>
      </c>
      <c r="M41" s="13">
        <v>10</v>
      </c>
      <c r="N41" s="14">
        <v>86</v>
      </c>
      <c r="O41" s="11" t="s">
        <v>102</v>
      </c>
      <c r="P41" s="33" t="s">
        <v>40</v>
      </c>
    </row>
    <row r="42" spans="1:16" x14ac:dyDescent="0.35">
      <c r="A42" s="31" t="s">
        <v>158</v>
      </c>
      <c r="B42" s="5" t="s">
        <v>78</v>
      </c>
      <c r="C42" s="5" t="s">
        <v>79</v>
      </c>
      <c r="D42" s="5" t="s">
        <v>50</v>
      </c>
      <c r="E42" s="5" t="s">
        <v>62</v>
      </c>
      <c r="F42" s="5" t="s">
        <v>52</v>
      </c>
      <c r="G42" s="4">
        <v>2023</v>
      </c>
      <c r="H42" s="71">
        <v>1344515000</v>
      </c>
      <c r="I42" s="71">
        <v>1776853000</v>
      </c>
      <c r="J42" s="71">
        <v>432338000</v>
      </c>
      <c r="K42" s="8">
        <v>17</v>
      </c>
      <c r="L42" s="8">
        <v>27</v>
      </c>
      <c r="M42" s="8">
        <v>10</v>
      </c>
      <c r="N42" s="9">
        <v>60</v>
      </c>
      <c r="O42" s="5" t="s">
        <v>63</v>
      </c>
      <c r="P42" s="33" t="s">
        <v>40</v>
      </c>
    </row>
    <row r="43" spans="1:16" x14ac:dyDescent="0.35">
      <c r="A43" s="32" t="s">
        <v>159</v>
      </c>
      <c r="B43" s="11" t="s">
        <v>160</v>
      </c>
      <c r="C43" s="11" t="s">
        <v>70</v>
      </c>
      <c r="D43" s="11" t="s">
        <v>50</v>
      </c>
      <c r="E43" s="11" t="s">
        <v>122</v>
      </c>
      <c r="F43" s="11" t="s">
        <v>58</v>
      </c>
      <c r="G43" s="10">
        <v>2020</v>
      </c>
      <c r="H43" s="71">
        <v>1968675000</v>
      </c>
      <c r="I43" s="71">
        <v>2592281000</v>
      </c>
      <c r="J43" s="71">
        <v>623606000</v>
      </c>
      <c r="K43" s="13">
        <v>16</v>
      </c>
      <c r="L43" s="13">
        <v>21</v>
      </c>
      <c r="M43" s="13">
        <v>5</v>
      </c>
      <c r="N43" s="14">
        <v>54</v>
      </c>
      <c r="O43" s="11" t="s">
        <v>76</v>
      </c>
      <c r="P43" s="33" t="s">
        <v>40</v>
      </c>
    </row>
    <row r="44" spans="1:16" x14ac:dyDescent="0.35">
      <c r="A44" s="31" t="s">
        <v>161</v>
      </c>
      <c r="B44" s="5" t="s">
        <v>162</v>
      </c>
      <c r="C44" s="5" t="s">
        <v>87</v>
      </c>
      <c r="D44" s="5" t="s">
        <v>43</v>
      </c>
      <c r="E44" s="5" t="s">
        <v>142</v>
      </c>
      <c r="F44" s="5" t="s">
        <v>58</v>
      </c>
      <c r="G44" s="4">
        <v>2019</v>
      </c>
      <c r="H44" s="71">
        <v>1567920000</v>
      </c>
      <c r="I44" s="71">
        <v>1695399000</v>
      </c>
      <c r="J44" s="71">
        <v>127479000</v>
      </c>
      <c r="K44" s="8">
        <v>45</v>
      </c>
      <c r="L44" s="8">
        <v>60</v>
      </c>
      <c r="M44" s="8">
        <v>15</v>
      </c>
      <c r="N44" s="9">
        <v>61</v>
      </c>
      <c r="O44" s="5" t="s">
        <v>53</v>
      </c>
      <c r="P44" s="33" t="s">
        <v>40</v>
      </c>
    </row>
    <row r="45" spans="1:16" x14ac:dyDescent="0.35">
      <c r="A45" s="32" t="s">
        <v>163</v>
      </c>
      <c r="B45" s="11" t="s">
        <v>164</v>
      </c>
      <c r="C45" s="11" t="s">
        <v>83</v>
      </c>
      <c r="D45" s="11" t="s">
        <v>165</v>
      </c>
      <c r="E45" s="11" t="s">
        <v>110</v>
      </c>
      <c r="F45" s="11" t="s">
        <v>45</v>
      </c>
      <c r="G45" s="10">
        <v>2023</v>
      </c>
      <c r="H45" s="71">
        <v>668731000</v>
      </c>
      <c r="I45" s="71">
        <v>938330000</v>
      </c>
      <c r="J45" s="71">
        <v>269599000</v>
      </c>
      <c r="K45" s="13">
        <v>40</v>
      </c>
      <c r="L45" s="13">
        <v>57</v>
      </c>
      <c r="M45" s="13">
        <v>17</v>
      </c>
      <c r="N45" s="14">
        <v>94</v>
      </c>
      <c r="O45" s="11" t="s">
        <v>76</v>
      </c>
      <c r="P45" s="33" t="s">
        <v>40</v>
      </c>
    </row>
    <row r="46" spans="1:16" x14ac:dyDescent="0.35">
      <c r="A46" s="31" t="s">
        <v>166</v>
      </c>
      <c r="B46" s="5" t="s">
        <v>167</v>
      </c>
      <c r="C46" s="5" t="s">
        <v>79</v>
      </c>
      <c r="D46" s="5" t="s">
        <v>50</v>
      </c>
      <c r="E46" s="5" t="s">
        <v>71</v>
      </c>
      <c r="F46" s="5" t="s">
        <v>72</v>
      </c>
      <c r="G46" s="4">
        <v>2021</v>
      </c>
      <c r="H46" s="71">
        <v>1515965000</v>
      </c>
      <c r="I46" s="71">
        <v>2204088000</v>
      </c>
      <c r="J46" s="71">
        <v>688123000</v>
      </c>
      <c r="K46" s="8">
        <v>29</v>
      </c>
      <c r="L46" s="8">
        <v>45</v>
      </c>
      <c r="M46" s="8">
        <v>16</v>
      </c>
      <c r="N46" s="9">
        <v>96</v>
      </c>
      <c r="O46" s="5" t="s">
        <v>97</v>
      </c>
      <c r="P46" s="33" t="s">
        <v>40</v>
      </c>
    </row>
    <row r="47" spans="1:16" x14ac:dyDescent="0.35">
      <c r="A47" s="32" t="s">
        <v>168</v>
      </c>
      <c r="B47" s="11" t="s">
        <v>169</v>
      </c>
      <c r="C47" s="11" t="s">
        <v>70</v>
      </c>
      <c r="D47" s="11" t="s">
        <v>135</v>
      </c>
      <c r="E47" s="11" t="s">
        <v>71</v>
      </c>
      <c r="F47" s="11" t="s">
        <v>58</v>
      </c>
      <c r="G47" s="10">
        <v>2021</v>
      </c>
      <c r="H47" s="71">
        <v>507262000</v>
      </c>
      <c r="I47" s="71">
        <v>584117000</v>
      </c>
      <c r="J47" s="71">
        <v>76855000</v>
      </c>
      <c r="K47" s="13">
        <v>46</v>
      </c>
      <c r="L47" s="13">
        <v>49</v>
      </c>
      <c r="M47" s="13">
        <v>3</v>
      </c>
      <c r="N47" s="14">
        <v>49</v>
      </c>
      <c r="O47" s="11" t="s">
        <v>102</v>
      </c>
      <c r="P47" s="34" t="s">
        <v>90</v>
      </c>
    </row>
    <row r="48" spans="1:16" x14ac:dyDescent="0.35">
      <c r="A48" s="31" t="s">
        <v>170</v>
      </c>
      <c r="B48" s="5" t="s">
        <v>171</v>
      </c>
      <c r="C48" s="5" t="s">
        <v>83</v>
      </c>
      <c r="D48" s="5" t="s">
        <v>43</v>
      </c>
      <c r="E48" s="5" t="s">
        <v>62</v>
      </c>
      <c r="F48" s="5" t="s">
        <v>72</v>
      </c>
      <c r="G48" s="4">
        <v>2022</v>
      </c>
      <c r="H48" s="71">
        <v>695219000</v>
      </c>
      <c r="I48" s="71">
        <v>854810000</v>
      </c>
      <c r="J48" s="71">
        <v>159591000</v>
      </c>
      <c r="K48" s="8">
        <v>15</v>
      </c>
      <c r="L48" s="8">
        <v>17</v>
      </c>
      <c r="M48" s="8">
        <v>2</v>
      </c>
      <c r="N48" s="9">
        <v>83</v>
      </c>
      <c r="O48" s="5" t="s">
        <v>76</v>
      </c>
      <c r="P48" s="33" t="s">
        <v>40</v>
      </c>
    </row>
    <row r="49" spans="1:16" x14ac:dyDescent="0.35">
      <c r="A49" s="32" t="s">
        <v>172</v>
      </c>
      <c r="B49" s="11" t="s">
        <v>173</v>
      </c>
      <c r="C49" s="11" t="s">
        <v>49</v>
      </c>
      <c r="D49" s="11" t="s">
        <v>57</v>
      </c>
      <c r="E49" s="11" t="s">
        <v>51</v>
      </c>
      <c r="F49" s="11" t="s">
        <v>72</v>
      </c>
      <c r="G49" s="10">
        <v>2019</v>
      </c>
      <c r="H49" s="71">
        <v>1888346000</v>
      </c>
      <c r="I49" s="71">
        <v>2132259000</v>
      </c>
      <c r="J49" s="71">
        <v>243913000</v>
      </c>
      <c r="K49" s="13">
        <v>36</v>
      </c>
      <c r="L49" s="13">
        <v>58</v>
      </c>
      <c r="M49" s="13">
        <v>22</v>
      </c>
      <c r="N49" s="14">
        <v>83</v>
      </c>
      <c r="O49" s="11" t="s">
        <v>67</v>
      </c>
      <c r="P49" s="33" t="s">
        <v>40</v>
      </c>
    </row>
    <row r="50" spans="1:16" x14ac:dyDescent="0.35">
      <c r="A50" s="31" t="s">
        <v>174</v>
      </c>
      <c r="B50" s="5" t="s">
        <v>175</v>
      </c>
      <c r="C50" s="5" t="s">
        <v>151</v>
      </c>
      <c r="D50" s="5" t="s">
        <v>57</v>
      </c>
      <c r="E50" s="5" t="s">
        <v>44</v>
      </c>
      <c r="F50" s="5" t="s">
        <v>72</v>
      </c>
      <c r="G50" s="4">
        <v>2020</v>
      </c>
      <c r="H50" s="71">
        <v>582224000</v>
      </c>
      <c r="I50" s="71">
        <v>722764000</v>
      </c>
      <c r="J50" s="71">
        <v>140540000</v>
      </c>
      <c r="K50" s="8">
        <v>36</v>
      </c>
      <c r="L50" s="8">
        <v>44</v>
      </c>
      <c r="M50" s="8">
        <v>8</v>
      </c>
      <c r="N50" s="9">
        <v>81</v>
      </c>
      <c r="O50" s="5" t="s">
        <v>119</v>
      </c>
      <c r="P50" s="33" t="s">
        <v>40</v>
      </c>
    </row>
    <row r="51" spans="1:16" x14ac:dyDescent="0.35">
      <c r="A51" s="83" t="s">
        <v>176</v>
      </c>
      <c r="B51" s="40" t="s">
        <v>177</v>
      </c>
      <c r="C51" s="40" t="s">
        <v>83</v>
      </c>
      <c r="D51" s="40" t="s">
        <v>57</v>
      </c>
      <c r="E51" s="40" t="s">
        <v>110</v>
      </c>
      <c r="F51" s="40" t="s">
        <v>58</v>
      </c>
      <c r="G51" s="41">
        <v>2022</v>
      </c>
      <c r="H51" s="72">
        <v>1204191000</v>
      </c>
      <c r="I51" s="72">
        <v>1623008000</v>
      </c>
      <c r="J51" s="72">
        <v>418817000</v>
      </c>
      <c r="K51" s="44">
        <v>17</v>
      </c>
      <c r="L51" s="44">
        <v>25</v>
      </c>
      <c r="M51" s="44">
        <v>8</v>
      </c>
      <c r="N51" s="45">
        <v>47</v>
      </c>
      <c r="O51" s="40" t="s">
        <v>97</v>
      </c>
      <c r="P51" s="46" t="s">
        <v>90</v>
      </c>
    </row>
    <row r="52" spans="1:16" x14ac:dyDescent="0.35">
      <c r="A52" s="39" t="s">
        <v>282</v>
      </c>
      <c r="B52" s="84">
        <f>SUBTOTAL(103,Table1[Project_Name])</f>
        <v>50</v>
      </c>
      <c r="C52" s="40"/>
      <c r="D52" s="40"/>
      <c r="E52" s="40"/>
      <c r="F52" s="40"/>
      <c r="G52" s="41"/>
      <c r="H52" s="80"/>
      <c r="I52" s="80"/>
      <c r="J52" s="82">
        <f>SUBTOTAL(109,Table1[Cost_Overrun_NGN])</f>
        <v>15082331000</v>
      </c>
      <c r="K52" s="41"/>
      <c r="L52" s="41"/>
      <c r="M52" s="44">
        <f>SUBTOTAL(101,Table1[Schedule_Delay_Months])</f>
        <v>10.44</v>
      </c>
      <c r="N52" s="41"/>
      <c r="O52" s="40"/>
      <c r="P52" s="81">
        <f>SUBTOTAL(103,Table1[Status])</f>
        <v>50</v>
      </c>
    </row>
  </sheetData>
  <sheetProtection algorithmName="SHA-512" hashValue="kjECZtUgRr1USfA4vxVPiQzUyHv/png2FzPdazmTvQ6TVn9Oai6DB+hCJ7AKZD1Y4aawdbkGk+bNyi+sm1EDpQ==" saltValue="PkCRqKi8U05jrL7o1nbZ4Q==" spinCount="100000" sheet="1" objects="1" scenarios="1"/>
  <pageMargins left="0.75" right="0.75" top="1" bottom="1"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01"/>
  <sheetViews>
    <sheetView showGridLines="0" zoomScaleNormal="100" workbookViewId="0">
      <pane ySplit="1" topLeftCell="A2" activePane="bottomLeft" state="frozen"/>
      <selection pane="bottomLeft" activeCell="H10" sqref="H10"/>
    </sheetView>
  </sheetViews>
  <sheetFormatPr defaultColWidth="8.6328125" defaultRowHeight="14.5" x14ac:dyDescent="0.35"/>
  <cols>
    <col min="1" max="1" width="12.453125" customWidth="1"/>
    <col min="2" max="2" width="28" customWidth="1"/>
    <col min="3" max="4" width="22" customWidth="1"/>
    <col min="5" max="5" width="22.90625" customWidth="1"/>
    <col min="6" max="6" width="21.54296875" customWidth="1"/>
  </cols>
  <sheetData>
    <row r="1" spans="1:6" ht="34.5" customHeight="1" x14ac:dyDescent="0.35">
      <c r="A1" s="49" t="s">
        <v>17</v>
      </c>
      <c r="B1" s="50" t="s">
        <v>178</v>
      </c>
      <c r="C1" s="50" t="s">
        <v>179</v>
      </c>
      <c r="D1" s="50" t="s">
        <v>180</v>
      </c>
      <c r="E1" s="50" t="s">
        <v>181</v>
      </c>
      <c r="F1" s="51" t="s">
        <v>182</v>
      </c>
    </row>
    <row r="2" spans="1:6" x14ac:dyDescent="0.35">
      <c r="A2" s="31" t="s">
        <v>33</v>
      </c>
      <c r="B2" s="5" t="s">
        <v>183</v>
      </c>
      <c r="C2" s="6">
        <v>25768000</v>
      </c>
      <c r="D2" s="6">
        <v>23969000</v>
      </c>
      <c r="E2" s="6">
        <v>-1799000</v>
      </c>
      <c r="F2" s="47">
        <v>-7</v>
      </c>
    </row>
    <row r="3" spans="1:6" x14ac:dyDescent="0.35">
      <c r="A3" s="32" t="s">
        <v>33</v>
      </c>
      <c r="B3" s="11" t="s">
        <v>184</v>
      </c>
      <c r="C3" s="12">
        <v>38652000</v>
      </c>
      <c r="D3" s="12">
        <v>43579000</v>
      </c>
      <c r="E3" s="7">
        <v>4927000</v>
      </c>
      <c r="F3" s="48">
        <v>12.7</v>
      </c>
    </row>
    <row r="4" spans="1:6" x14ac:dyDescent="0.35">
      <c r="A4" s="31" t="s">
        <v>33</v>
      </c>
      <c r="B4" s="5" t="s">
        <v>185</v>
      </c>
      <c r="C4" s="6">
        <v>16105000</v>
      </c>
      <c r="D4" s="6">
        <v>16540000</v>
      </c>
      <c r="E4" s="7">
        <v>435000</v>
      </c>
      <c r="F4" s="47">
        <v>2.7</v>
      </c>
    </row>
    <row r="5" spans="1:6" x14ac:dyDescent="0.35">
      <c r="A5" s="32" t="s">
        <v>33</v>
      </c>
      <c r="B5" s="11" t="s">
        <v>186</v>
      </c>
      <c r="C5" s="12">
        <v>193259000</v>
      </c>
      <c r="D5" s="12">
        <v>211833000</v>
      </c>
      <c r="E5" s="7">
        <v>18574000</v>
      </c>
      <c r="F5" s="48">
        <v>9.6</v>
      </c>
    </row>
    <row r="6" spans="1:6" x14ac:dyDescent="0.35">
      <c r="A6" s="31" t="s">
        <v>33</v>
      </c>
      <c r="B6" s="5" t="s">
        <v>187</v>
      </c>
      <c r="C6" s="6">
        <v>32210000</v>
      </c>
      <c r="D6" s="6">
        <v>43701000</v>
      </c>
      <c r="E6" s="7">
        <v>11491000</v>
      </c>
      <c r="F6" s="47">
        <v>35.700000000000003</v>
      </c>
    </row>
    <row r="7" spans="1:6" x14ac:dyDescent="0.35">
      <c r="A7" s="32" t="s">
        <v>33</v>
      </c>
      <c r="B7" s="11" t="s">
        <v>188</v>
      </c>
      <c r="C7" s="12">
        <v>16105000</v>
      </c>
      <c r="D7" s="12">
        <v>18158000</v>
      </c>
      <c r="E7" s="7">
        <v>2053000</v>
      </c>
      <c r="F7" s="48">
        <v>12.7</v>
      </c>
    </row>
    <row r="8" spans="1:6" x14ac:dyDescent="0.35">
      <c r="A8" s="31" t="s">
        <v>41</v>
      </c>
      <c r="B8" s="5" t="s">
        <v>183</v>
      </c>
      <c r="C8" s="6">
        <v>8140000</v>
      </c>
      <c r="D8" s="6">
        <v>10999000</v>
      </c>
      <c r="E8" s="7">
        <v>2859000</v>
      </c>
      <c r="F8" s="47">
        <v>35.1</v>
      </c>
    </row>
    <row r="9" spans="1:6" x14ac:dyDescent="0.35">
      <c r="A9" s="32" t="s">
        <v>41</v>
      </c>
      <c r="B9" s="11" t="s">
        <v>184</v>
      </c>
      <c r="C9" s="12">
        <v>12209000</v>
      </c>
      <c r="D9" s="12">
        <v>17082000</v>
      </c>
      <c r="E9" s="7">
        <v>4873000</v>
      </c>
      <c r="F9" s="48">
        <v>39.9</v>
      </c>
    </row>
    <row r="10" spans="1:6" x14ac:dyDescent="0.35">
      <c r="A10" s="31" t="s">
        <v>41</v>
      </c>
      <c r="B10" s="5" t="s">
        <v>185</v>
      </c>
      <c r="C10" s="6">
        <v>5087000</v>
      </c>
      <c r="D10" s="6">
        <v>5348000</v>
      </c>
      <c r="E10" s="7">
        <v>261000</v>
      </c>
      <c r="F10" s="47">
        <v>5.0999999999999996</v>
      </c>
    </row>
    <row r="11" spans="1:6" x14ac:dyDescent="0.35">
      <c r="A11" s="32" t="s">
        <v>41</v>
      </c>
      <c r="B11" s="11" t="s">
        <v>186</v>
      </c>
      <c r="C11" s="12">
        <v>61047000</v>
      </c>
      <c r="D11" s="12">
        <v>57942000</v>
      </c>
      <c r="E11" s="12">
        <v>-3105000</v>
      </c>
      <c r="F11" s="48">
        <v>-5.0999999999999996</v>
      </c>
    </row>
    <row r="12" spans="1:6" x14ac:dyDescent="0.35">
      <c r="A12" s="31" t="s">
        <v>41</v>
      </c>
      <c r="B12" s="5" t="s">
        <v>187</v>
      </c>
      <c r="C12" s="6">
        <v>10174000</v>
      </c>
      <c r="D12" s="6">
        <v>9275000</v>
      </c>
      <c r="E12" s="6">
        <v>-899000</v>
      </c>
      <c r="F12" s="47">
        <v>-8.8000000000000007</v>
      </c>
    </row>
    <row r="13" spans="1:6" x14ac:dyDescent="0.35">
      <c r="A13" s="32" t="s">
        <v>41</v>
      </c>
      <c r="B13" s="11" t="s">
        <v>188</v>
      </c>
      <c r="C13" s="12">
        <v>5087000</v>
      </c>
      <c r="D13" s="12">
        <v>6225000</v>
      </c>
      <c r="E13" s="7">
        <v>1138000</v>
      </c>
      <c r="F13" s="48">
        <v>22.4</v>
      </c>
    </row>
    <row r="14" spans="1:6" x14ac:dyDescent="0.35">
      <c r="A14" s="31" t="s">
        <v>47</v>
      </c>
      <c r="B14" s="5" t="s">
        <v>183</v>
      </c>
      <c r="C14" s="6">
        <v>28255000</v>
      </c>
      <c r="D14" s="6">
        <v>42381000</v>
      </c>
      <c r="E14" s="7">
        <v>14126000</v>
      </c>
      <c r="F14" s="47">
        <v>50</v>
      </c>
    </row>
    <row r="15" spans="1:6" x14ac:dyDescent="0.35">
      <c r="A15" s="32" t="s">
        <v>47</v>
      </c>
      <c r="B15" s="11" t="s">
        <v>184</v>
      </c>
      <c r="C15" s="12">
        <v>42382000</v>
      </c>
      <c r="D15" s="12">
        <v>47043000</v>
      </c>
      <c r="E15" s="7">
        <v>4661000</v>
      </c>
      <c r="F15" s="48">
        <v>11</v>
      </c>
    </row>
    <row r="16" spans="1:6" x14ac:dyDescent="0.35">
      <c r="A16" s="31" t="s">
        <v>47</v>
      </c>
      <c r="B16" s="5" t="s">
        <v>185</v>
      </c>
      <c r="C16" s="6">
        <v>17659000</v>
      </c>
      <c r="D16" s="6">
        <v>22782000</v>
      </c>
      <c r="E16" s="7">
        <v>5123000</v>
      </c>
      <c r="F16" s="47">
        <v>29</v>
      </c>
    </row>
    <row r="17" spans="1:6" x14ac:dyDescent="0.35">
      <c r="A17" s="32" t="s">
        <v>47</v>
      </c>
      <c r="B17" s="11" t="s">
        <v>186</v>
      </c>
      <c r="C17" s="12">
        <v>211911000</v>
      </c>
      <c r="D17" s="12">
        <v>290051000</v>
      </c>
      <c r="E17" s="7">
        <v>78140000</v>
      </c>
      <c r="F17" s="48">
        <v>36.9</v>
      </c>
    </row>
    <row r="18" spans="1:6" x14ac:dyDescent="0.35">
      <c r="A18" s="31" t="s">
        <v>47</v>
      </c>
      <c r="B18" s="5" t="s">
        <v>187</v>
      </c>
      <c r="C18" s="6">
        <v>35318000</v>
      </c>
      <c r="D18" s="6">
        <v>45597000</v>
      </c>
      <c r="E18" s="7">
        <v>10279000</v>
      </c>
      <c r="F18" s="47">
        <v>29.1</v>
      </c>
    </row>
    <row r="19" spans="1:6" x14ac:dyDescent="0.35">
      <c r="A19" s="32" t="s">
        <v>47</v>
      </c>
      <c r="B19" s="11" t="s">
        <v>188</v>
      </c>
      <c r="C19" s="12">
        <v>17659000</v>
      </c>
      <c r="D19" s="12">
        <v>23885000</v>
      </c>
      <c r="E19" s="7">
        <v>6226000</v>
      </c>
      <c r="F19" s="48">
        <v>35.299999999999997</v>
      </c>
    </row>
    <row r="20" spans="1:6" x14ac:dyDescent="0.35">
      <c r="A20" s="31" t="s">
        <v>54</v>
      </c>
      <c r="B20" s="5" t="s">
        <v>183</v>
      </c>
      <c r="C20" s="6">
        <v>87652000</v>
      </c>
      <c r="D20" s="6">
        <v>128828000</v>
      </c>
      <c r="E20" s="7">
        <v>41176000</v>
      </c>
      <c r="F20" s="47">
        <v>47</v>
      </c>
    </row>
    <row r="21" spans="1:6" x14ac:dyDescent="0.35">
      <c r="A21" s="32" t="s">
        <v>54</v>
      </c>
      <c r="B21" s="11" t="s">
        <v>184</v>
      </c>
      <c r="C21" s="12">
        <v>131477000</v>
      </c>
      <c r="D21" s="12">
        <v>134056000</v>
      </c>
      <c r="E21" s="7">
        <v>2579000</v>
      </c>
      <c r="F21" s="48">
        <v>2</v>
      </c>
    </row>
    <row r="22" spans="1:6" x14ac:dyDescent="0.35">
      <c r="A22" s="31" t="s">
        <v>54</v>
      </c>
      <c r="B22" s="5" t="s">
        <v>185</v>
      </c>
      <c r="C22" s="6">
        <v>54782000</v>
      </c>
      <c r="D22" s="6">
        <v>49974000</v>
      </c>
      <c r="E22" s="6">
        <v>-4808000</v>
      </c>
      <c r="F22" s="47">
        <v>-8.8000000000000007</v>
      </c>
    </row>
    <row r="23" spans="1:6" x14ac:dyDescent="0.35">
      <c r="A23" s="32" t="s">
        <v>54</v>
      </c>
      <c r="B23" s="11" t="s">
        <v>186</v>
      </c>
      <c r="C23" s="12">
        <v>657387000</v>
      </c>
      <c r="D23" s="12">
        <v>651753000</v>
      </c>
      <c r="E23" s="12">
        <v>-5634000</v>
      </c>
      <c r="F23" s="48">
        <v>-0.9</v>
      </c>
    </row>
    <row r="24" spans="1:6" x14ac:dyDescent="0.35">
      <c r="A24" s="31" t="s">
        <v>54</v>
      </c>
      <c r="B24" s="5" t="s">
        <v>187</v>
      </c>
      <c r="C24" s="6">
        <v>109564000</v>
      </c>
      <c r="D24" s="6">
        <v>106905000</v>
      </c>
      <c r="E24" s="6">
        <v>-2659000</v>
      </c>
      <c r="F24" s="47">
        <v>-2.4</v>
      </c>
    </row>
    <row r="25" spans="1:6" x14ac:dyDescent="0.35">
      <c r="A25" s="32" t="s">
        <v>54</v>
      </c>
      <c r="B25" s="11" t="s">
        <v>188</v>
      </c>
      <c r="C25" s="12">
        <v>54782000</v>
      </c>
      <c r="D25" s="12">
        <v>71308000</v>
      </c>
      <c r="E25" s="7">
        <v>16526000</v>
      </c>
      <c r="F25" s="48">
        <v>30.2</v>
      </c>
    </row>
    <row r="26" spans="1:6" x14ac:dyDescent="0.35">
      <c r="A26" s="31" t="s">
        <v>59</v>
      </c>
      <c r="B26" s="5" t="s">
        <v>183</v>
      </c>
      <c r="C26" s="6">
        <v>124599000</v>
      </c>
      <c r="D26" s="6">
        <v>154301000</v>
      </c>
      <c r="E26" s="7">
        <v>29702000</v>
      </c>
      <c r="F26" s="47">
        <v>23.8</v>
      </c>
    </row>
    <row r="27" spans="1:6" x14ac:dyDescent="0.35">
      <c r="A27" s="32" t="s">
        <v>59</v>
      </c>
      <c r="B27" s="11" t="s">
        <v>184</v>
      </c>
      <c r="C27" s="12">
        <v>186898000</v>
      </c>
      <c r="D27" s="12">
        <v>192650000</v>
      </c>
      <c r="E27" s="7">
        <v>5752000</v>
      </c>
      <c r="F27" s="48">
        <v>3.1</v>
      </c>
    </row>
    <row r="28" spans="1:6" x14ac:dyDescent="0.35">
      <c r="A28" s="31" t="s">
        <v>59</v>
      </c>
      <c r="B28" s="5" t="s">
        <v>185</v>
      </c>
      <c r="C28" s="6">
        <v>77874000</v>
      </c>
      <c r="D28" s="6">
        <v>102769000</v>
      </c>
      <c r="E28" s="7">
        <v>24895000</v>
      </c>
      <c r="F28" s="47">
        <v>32</v>
      </c>
    </row>
    <row r="29" spans="1:6" x14ac:dyDescent="0.35">
      <c r="A29" s="32" t="s">
        <v>59</v>
      </c>
      <c r="B29" s="11" t="s">
        <v>186</v>
      </c>
      <c r="C29" s="12">
        <v>934490000</v>
      </c>
      <c r="D29" s="12">
        <v>1271036000</v>
      </c>
      <c r="E29" s="7">
        <v>336546000</v>
      </c>
      <c r="F29" s="48">
        <v>36</v>
      </c>
    </row>
    <row r="30" spans="1:6" x14ac:dyDescent="0.35">
      <c r="A30" s="31" t="s">
        <v>59</v>
      </c>
      <c r="B30" s="5" t="s">
        <v>187</v>
      </c>
      <c r="C30" s="6">
        <v>155748000</v>
      </c>
      <c r="D30" s="6">
        <v>155853000</v>
      </c>
      <c r="E30" s="7">
        <v>105000</v>
      </c>
      <c r="F30" s="47">
        <v>0.1</v>
      </c>
    </row>
    <row r="31" spans="1:6" x14ac:dyDescent="0.35">
      <c r="A31" s="32" t="s">
        <v>59</v>
      </c>
      <c r="B31" s="11" t="s">
        <v>188</v>
      </c>
      <c r="C31" s="12">
        <v>77874000</v>
      </c>
      <c r="D31" s="12">
        <v>98460000</v>
      </c>
      <c r="E31" s="7">
        <v>20586000</v>
      </c>
      <c r="F31" s="48">
        <v>26.4</v>
      </c>
    </row>
    <row r="32" spans="1:6" x14ac:dyDescent="0.35">
      <c r="A32" s="31" t="s">
        <v>64</v>
      </c>
      <c r="B32" s="5" t="s">
        <v>183</v>
      </c>
      <c r="C32" s="6">
        <v>108547000</v>
      </c>
      <c r="D32" s="6">
        <v>146403000</v>
      </c>
      <c r="E32" s="7">
        <v>37856000</v>
      </c>
      <c r="F32" s="47">
        <v>34.9</v>
      </c>
    </row>
    <row r="33" spans="1:6" x14ac:dyDescent="0.35">
      <c r="A33" s="32" t="s">
        <v>64</v>
      </c>
      <c r="B33" s="11" t="s">
        <v>184</v>
      </c>
      <c r="C33" s="12">
        <v>162821000</v>
      </c>
      <c r="D33" s="12">
        <v>157728000</v>
      </c>
      <c r="E33" s="12">
        <v>-5093000</v>
      </c>
      <c r="F33" s="48">
        <v>-3.1</v>
      </c>
    </row>
    <row r="34" spans="1:6" x14ac:dyDescent="0.35">
      <c r="A34" s="31" t="s">
        <v>64</v>
      </c>
      <c r="B34" s="5" t="s">
        <v>185</v>
      </c>
      <c r="C34" s="6">
        <v>67842000</v>
      </c>
      <c r="D34" s="6">
        <v>94408000</v>
      </c>
      <c r="E34" s="7">
        <v>26566000</v>
      </c>
      <c r="F34" s="47">
        <v>39.200000000000003</v>
      </c>
    </row>
    <row r="35" spans="1:6" x14ac:dyDescent="0.35">
      <c r="A35" s="32" t="s">
        <v>64</v>
      </c>
      <c r="B35" s="11" t="s">
        <v>186</v>
      </c>
      <c r="C35" s="12">
        <v>814105000</v>
      </c>
      <c r="D35" s="12">
        <v>1203925000</v>
      </c>
      <c r="E35" s="7">
        <v>389820000</v>
      </c>
      <c r="F35" s="48">
        <v>47.9</v>
      </c>
    </row>
    <row r="36" spans="1:6" x14ac:dyDescent="0.35">
      <c r="A36" s="31" t="s">
        <v>64</v>
      </c>
      <c r="B36" s="5" t="s">
        <v>187</v>
      </c>
      <c r="C36" s="6">
        <v>135684000</v>
      </c>
      <c r="D36" s="6">
        <v>130916000</v>
      </c>
      <c r="E36" s="6">
        <v>-4768000</v>
      </c>
      <c r="F36" s="47">
        <v>-3.5</v>
      </c>
    </row>
    <row r="37" spans="1:6" x14ac:dyDescent="0.35">
      <c r="A37" s="32" t="s">
        <v>64</v>
      </c>
      <c r="B37" s="11" t="s">
        <v>188</v>
      </c>
      <c r="C37" s="12">
        <v>67842000</v>
      </c>
      <c r="D37" s="12">
        <v>62103000</v>
      </c>
      <c r="E37" s="12">
        <v>-5739000</v>
      </c>
      <c r="F37" s="48">
        <v>-8.5</v>
      </c>
    </row>
    <row r="38" spans="1:6" x14ac:dyDescent="0.35">
      <c r="A38" s="31" t="s">
        <v>68</v>
      </c>
      <c r="B38" s="5" t="s">
        <v>183</v>
      </c>
      <c r="C38" s="6">
        <v>158366000</v>
      </c>
      <c r="D38" s="6">
        <v>172171000</v>
      </c>
      <c r="E38" s="7">
        <v>13805000</v>
      </c>
      <c r="F38" s="47">
        <v>8.6999999999999993</v>
      </c>
    </row>
    <row r="39" spans="1:6" x14ac:dyDescent="0.35">
      <c r="A39" s="32" t="s">
        <v>68</v>
      </c>
      <c r="B39" s="11" t="s">
        <v>184</v>
      </c>
      <c r="C39" s="12">
        <v>237549000</v>
      </c>
      <c r="D39" s="12">
        <v>310336000</v>
      </c>
      <c r="E39" s="7">
        <v>72787000</v>
      </c>
      <c r="F39" s="48">
        <v>30.6</v>
      </c>
    </row>
    <row r="40" spans="1:6" x14ac:dyDescent="0.35">
      <c r="A40" s="31" t="s">
        <v>68</v>
      </c>
      <c r="B40" s="5" t="s">
        <v>185</v>
      </c>
      <c r="C40" s="6">
        <v>98979000</v>
      </c>
      <c r="D40" s="6">
        <v>145984000</v>
      </c>
      <c r="E40" s="7">
        <v>47005000</v>
      </c>
      <c r="F40" s="47">
        <v>47.5</v>
      </c>
    </row>
    <row r="41" spans="1:6" x14ac:dyDescent="0.35">
      <c r="A41" s="32" t="s">
        <v>68</v>
      </c>
      <c r="B41" s="11" t="s">
        <v>186</v>
      </c>
      <c r="C41" s="12">
        <v>1187743000</v>
      </c>
      <c r="D41" s="12">
        <v>1351643000</v>
      </c>
      <c r="E41" s="7">
        <v>163900000</v>
      </c>
      <c r="F41" s="48">
        <v>13.8</v>
      </c>
    </row>
    <row r="42" spans="1:6" x14ac:dyDescent="0.35">
      <c r="A42" s="31" t="s">
        <v>68</v>
      </c>
      <c r="B42" s="5" t="s">
        <v>187</v>
      </c>
      <c r="C42" s="6">
        <v>197957000</v>
      </c>
      <c r="D42" s="6">
        <v>263087000</v>
      </c>
      <c r="E42" s="7">
        <v>65130000</v>
      </c>
      <c r="F42" s="47">
        <v>32.9</v>
      </c>
    </row>
    <row r="43" spans="1:6" x14ac:dyDescent="0.35">
      <c r="A43" s="32" t="s">
        <v>68</v>
      </c>
      <c r="B43" s="11" t="s">
        <v>188</v>
      </c>
      <c r="C43" s="12">
        <v>98979000</v>
      </c>
      <c r="D43" s="12">
        <v>93594000</v>
      </c>
      <c r="E43" s="12">
        <v>-5385000</v>
      </c>
      <c r="F43" s="48">
        <v>-5.4</v>
      </c>
    </row>
    <row r="44" spans="1:6" x14ac:dyDescent="0.35">
      <c r="A44" s="31" t="s">
        <v>73</v>
      </c>
      <c r="B44" s="5" t="s">
        <v>183</v>
      </c>
      <c r="C44" s="6">
        <v>36913000</v>
      </c>
      <c r="D44" s="6">
        <v>48517000</v>
      </c>
      <c r="E44" s="7">
        <v>11604000</v>
      </c>
      <c r="F44" s="47">
        <v>31.4</v>
      </c>
    </row>
    <row r="45" spans="1:6" x14ac:dyDescent="0.35">
      <c r="A45" s="32" t="s">
        <v>73</v>
      </c>
      <c r="B45" s="11" t="s">
        <v>184</v>
      </c>
      <c r="C45" s="12">
        <v>55370000</v>
      </c>
      <c r="D45" s="12">
        <v>70671000</v>
      </c>
      <c r="E45" s="7">
        <v>15301000</v>
      </c>
      <c r="F45" s="48">
        <v>27.6</v>
      </c>
    </row>
    <row r="46" spans="1:6" x14ac:dyDescent="0.35">
      <c r="A46" s="31" t="s">
        <v>73</v>
      </c>
      <c r="B46" s="5" t="s">
        <v>185</v>
      </c>
      <c r="C46" s="6">
        <v>23071000</v>
      </c>
      <c r="D46" s="6">
        <v>22174000</v>
      </c>
      <c r="E46" s="6">
        <v>-897000</v>
      </c>
      <c r="F46" s="47">
        <v>-3.9</v>
      </c>
    </row>
    <row r="47" spans="1:6" x14ac:dyDescent="0.35">
      <c r="A47" s="32" t="s">
        <v>73</v>
      </c>
      <c r="B47" s="11" t="s">
        <v>186</v>
      </c>
      <c r="C47" s="12">
        <v>276850000</v>
      </c>
      <c r="D47" s="12">
        <v>377482000</v>
      </c>
      <c r="E47" s="7">
        <v>100632000</v>
      </c>
      <c r="F47" s="48">
        <v>36.299999999999997</v>
      </c>
    </row>
    <row r="48" spans="1:6" x14ac:dyDescent="0.35">
      <c r="A48" s="31" t="s">
        <v>73</v>
      </c>
      <c r="B48" s="5" t="s">
        <v>187</v>
      </c>
      <c r="C48" s="6">
        <v>46142000</v>
      </c>
      <c r="D48" s="6">
        <v>65068000</v>
      </c>
      <c r="E48" s="7">
        <v>18926000</v>
      </c>
      <c r="F48" s="47">
        <v>41</v>
      </c>
    </row>
    <row r="49" spans="1:6" x14ac:dyDescent="0.35">
      <c r="A49" s="32" t="s">
        <v>73</v>
      </c>
      <c r="B49" s="11" t="s">
        <v>188</v>
      </c>
      <c r="C49" s="12">
        <v>23071000</v>
      </c>
      <c r="D49" s="12">
        <v>29075000</v>
      </c>
      <c r="E49" s="7">
        <v>6004000</v>
      </c>
      <c r="F49" s="48">
        <v>26</v>
      </c>
    </row>
    <row r="50" spans="1:6" x14ac:dyDescent="0.35">
      <c r="A50" s="31" t="s">
        <v>77</v>
      </c>
      <c r="B50" s="5" t="s">
        <v>183</v>
      </c>
      <c r="C50" s="6">
        <v>120218000</v>
      </c>
      <c r="D50" s="6">
        <v>116928000</v>
      </c>
      <c r="E50" s="6">
        <v>-3290000</v>
      </c>
      <c r="F50" s="47">
        <v>-2.7</v>
      </c>
    </row>
    <row r="51" spans="1:6" x14ac:dyDescent="0.35">
      <c r="A51" s="32" t="s">
        <v>77</v>
      </c>
      <c r="B51" s="11" t="s">
        <v>184</v>
      </c>
      <c r="C51" s="12">
        <v>180327000</v>
      </c>
      <c r="D51" s="12">
        <v>268743000</v>
      </c>
      <c r="E51" s="7">
        <v>88416000</v>
      </c>
      <c r="F51" s="48">
        <v>49</v>
      </c>
    </row>
    <row r="52" spans="1:6" x14ac:dyDescent="0.35">
      <c r="A52" s="31" t="s">
        <v>77</v>
      </c>
      <c r="B52" s="5" t="s">
        <v>185</v>
      </c>
      <c r="C52" s="6">
        <v>75136000</v>
      </c>
      <c r="D52" s="6">
        <v>102905000</v>
      </c>
      <c r="E52" s="7">
        <v>27769000</v>
      </c>
      <c r="F52" s="47">
        <v>37</v>
      </c>
    </row>
    <row r="53" spans="1:6" x14ac:dyDescent="0.35">
      <c r="A53" s="32" t="s">
        <v>77</v>
      </c>
      <c r="B53" s="11" t="s">
        <v>186</v>
      </c>
      <c r="C53" s="12">
        <v>901637000</v>
      </c>
      <c r="D53" s="12">
        <v>999304000</v>
      </c>
      <c r="E53" s="7">
        <v>97667000</v>
      </c>
      <c r="F53" s="48">
        <v>10.8</v>
      </c>
    </row>
    <row r="54" spans="1:6" x14ac:dyDescent="0.35">
      <c r="A54" s="31" t="s">
        <v>77</v>
      </c>
      <c r="B54" s="5" t="s">
        <v>187</v>
      </c>
      <c r="C54" s="6">
        <v>150273000</v>
      </c>
      <c r="D54" s="6">
        <v>173870000</v>
      </c>
      <c r="E54" s="7">
        <v>23597000</v>
      </c>
      <c r="F54" s="47">
        <v>15.7</v>
      </c>
    </row>
    <row r="55" spans="1:6" x14ac:dyDescent="0.35">
      <c r="A55" s="32" t="s">
        <v>77</v>
      </c>
      <c r="B55" s="11" t="s">
        <v>188</v>
      </c>
      <c r="C55" s="12">
        <v>75136000</v>
      </c>
      <c r="D55" s="12">
        <v>84328000</v>
      </c>
      <c r="E55" s="7">
        <v>9192000</v>
      </c>
      <c r="F55" s="48">
        <v>12.2</v>
      </c>
    </row>
    <row r="56" spans="1:6" x14ac:dyDescent="0.35">
      <c r="A56" s="31" t="s">
        <v>81</v>
      </c>
      <c r="B56" s="5" t="s">
        <v>183</v>
      </c>
      <c r="C56" s="6">
        <v>138332000</v>
      </c>
      <c r="D56" s="6">
        <v>166493000</v>
      </c>
      <c r="E56" s="7">
        <v>28161000</v>
      </c>
      <c r="F56" s="47">
        <v>20.399999999999999</v>
      </c>
    </row>
    <row r="57" spans="1:6" x14ac:dyDescent="0.35">
      <c r="A57" s="32" t="s">
        <v>81</v>
      </c>
      <c r="B57" s="11" t="s">
        <v>184</v>
      </c>
      <c r="C57" s="12">
        <v>207498000</v>
      </c>
      <c r="D57" s="12">
        <v>229231000</v>
      </c>
      <c r="E57" s="7">
        <v>21733000</v>
      </c>
      <c r="F57" s="48">
        <v>10.5</v>
      </c>
    </row>
    <row r="58" spans="1:6" x14ac:dyDescent="0.35">
      <c r="A58" s="31" t="s">
        <v>81</v>
      </c>
      <c r="B58" s="5" t="s">
        <v>185</v>
      </c>
      <c r="C58" s="6">
        <v>86458000</v>
      </c>
      <c r="D58" s="6">
        <v>121884000</v>
      </c>
      <c r="E58" s="7">
        <v>35426000</v>
      </c>
      <c r="F58" s="47">
        <v>41</v>
      </c>
    </row>
    <row r="59" spans="1:6" x14ac:dyDescent="0.35">
      <c r="A59" s="32" t="s">
        <v>81</v>
      </c>
      <c r="B59" s="11" t="s">
        <v>186</v>
      </c>
      <c r="C59" s="12">
        <v>1037491000</v>
      </c>
      <c r="D59" s="12">
        <v>1445638000</v>
      </c>
      <c r="E59" s="7">
        <v>408147000</v>
      </c>
      <c r="F59" s="48">
        <v>39.299999999999997</v>
      </c>
    </row>
    <row r="60" spans="1:6" x14ac:dyDescent="0.35">
      <c r="A60" s="31" t="s">
        <v>81</v>
      </c>
      <c r="B60" s="5" t="s">
        <v>187</v>
      </c>
      <c r="C60" s="6">
        <v>172915000</v>
      </c>
      <c r="D60" s="6">
        <v>166573000</v>
      </c>
      <c r="E60" s="6">
        <v>-6342000</v>
      </c>
      <c r="F60" s="47">
        <v>-3.7</v>
      </c>
    </row>
    <row r="61" spans="1:6" x14ac:dyDescent="0.35">
      <c r="A61" s="32" t="s">
        <v>81</v>
      </c>
      <c r="B61" s="11" t="s">
        <v>188</v>
      </c>
      <c r="C61" s="12">
        <v>86458000</v>
      </c>
      <c r="D61" s="12">
        <v>127653000</v>
      </c>
      <c r="E61" s="7">
        <v>41195000</v>
      </c>
      <c r="F61" s="48">
        <v>47.6</v>
      </c>
    </row>
    <row r="62" spans="1:6" x14ac:dyDescent="0.35">
      <c r="A62" s="31" t="s">
        <v>85</v>
      </c>
      <c r="B62" s="5" t="s">
        <v>183</v>
      </c>
      <c r="C62" s="6">
        <v>43221000</v>
      </c>
      <c r="D62" s="6">
        <v>55381000</v>
      </c>
      <c r="E62" s="7">
        <v>12160000</v>
      </c>
      <c r="F62" s="47">
        <v>28.1</v>
      </c>
    </row>
    <row r="63" spans="1:6" x14ac:dyDescent="0.35">
      <c r="A63" s="32" t="s">
        <v>85</v>
      </c>
      <c r="B63" s="11" t="s">
        <v>184</v>
      </c>
      <c r="C63" s="12">
        <v>64831000</v>
      </c>
      <c r="D63" s="12">
        <v>90583000</v>
      </c>
      <c r="E63" s="7">
        <v>25752000</v>
      </c>
      <c r="F63" s="48">
        <v>39.700000000000003</v>
      </c>
    </row>
    <row r="64" spans="1:6" x14ac:dyDescent="0.35">
      <c r="A64" s="31" t="s">
        <v>85</v>
      </c>
      <c r="B64" s="5" t="s">
        <v>185</v>
      </c>
      <c r="C64" s="6">
        <v>27013000</v>
      </c>
      <c r="D64" s="6">
        <v>35776000</v>
      </c>
      <c r="E64" s="7">
        <v>8763000</v>
      </c>
      <c r="F64" s="47">
        <v>32.4</v>
      </c>
    </row>
    <row r="65" spans="1:6" x14ac:dyDescent="0.35">
      <c r="A65" s="32" t="s">
        <v>85</v>
      </c>
      <c r="B65" s="11" t="s">
        <v>186</v>
      </c>
      <c r="C65" s="12">
        <v>324155000</v>
      </c>
      <c r="D65" s="12">
        <v>376439000</v>
      </c>
      <c r="E65" s="7">
        <v>52284000</v>
      </c>
      <c r="F65" s="48">
        <v>16.100000000000001</v>
      </c>
    </row>
    <row r="66" spans="1:6" x14ac:dyDescent="0.35">
      <c r="A66" s="31" t="s">
        <v>85</v>
      </c>
      <c r="B66" s="5" t="s">
        <v>187</v>
      </c>
      <c r="C66" s="6">
        <v>54026000</v>
      </c>
      <c r="D66" s="6">
        <v>72410000</v>
      </c>
      <c r="E66" s="7">
        <v>18384000</v>
      </c>
      <c r="F66" s="47">
        <v>34</v>
      </c>
    </row>
    <row r="67" spans="1:6" x14ac:dyDescent="0.35">
      <c r="A67" s="32" t="s">
        <v>85</v>
      </c>
      <c r="B67" s="11" t="s">
        <v>188</v>
      </c>
      <c r="C67" s="12">
        <v>27013000</v>
      </c>
      <c r="D67" s="12">
        <v>39960000</v>
      </c>
      <c r="E67" s="7">
        <v>12947000</v>
      </c>
      <c r="F67" s="48">
        <v>47.9</v>
      </c>
    </row>
    <row r="68" spans="1:6" x14ac:dyDescent="0.35">
      <c r="A68" s="31" t="s">
        <v>91</v>
      </c>
      <c r="B68" s="5" t="s">
        <v>183</v>
      </c>
      <c r="C68" s="6">
        <v>74781000</v>
      </c>
      <c r="D68" s="6">
        <v>79421000</v>
      </c>
      <c r="E68" s="7">
        <v>4640000</v>
      </c>
      <c r="F68" s="47">
        <v>6.2</v>
      </c>
    </row>
    <row r="69" spans="1:6" x14ac:dyDescent="0.35">
      <c r="A69" s="32" t="s">
        <v>91</v>
      </c>
      <c r="B69" s="11" t="s">
        <v>184</v>
      </c>
      <c r="C69" s="12">
        <v>112171000</v>
      </c>
      <c r="D69" s="12">
        <v>155348000</v>
      </c>
      <c r="E69" s="7">
        <v>43177000</v>
      </c>
      <c r="F69" s="48">
        <v>38.5</v>
      </c>
    </row>
    <row r="70" spans="1:6" x14ac:dyDescent="0.35">
      <c r="A70" s="31" t="s">
        <v>91</v>
      </c>
      <c r="B70" s="5" t="s">
        <v>185</v>
      </c>
      <c r="C70" s="6">
        <v>46738000</v>
      </c>
      <c r="D70" s="6">
        <v>57156000</v>
      </c>
      <c r="E70" s="7">
        <v>10418000</v>
      </c>
      <c r="F70" s="47">
        <v>22.3</v>
      </c>
    </row>
    <row r="71" spans="1:6" x14ac:dyDescent="0.35">
      <c r="A71" s="32" t="s">
        <v>91</v>
      </c>
      <c r="B71" s="11" t="s">
        <v>186</v>
      </c>
      <c r="C71" s="12">
        <v>560857000</v>
      </c>
      <c r="D71" s="12">
        <v>667475000</v>
      </c>
      <c r="E71" s="7">
        <v>106618000</v>
      </c>
      <c r="F71" s="48">
        <v>19</v>
      </c>
    </row>
    <row r="72" spans="1:6" x14ac:dyDescent="0.35">
      <c r="A72" s="31" t="s">
        <v>91</v>
      </c>
      <c r="B72" s="5" t="s">
        <v>187</v>
      </c>
      <c r="C72" s="6">
        <v>93476000</v>
      </c>
      <c r="D72" s="6">
        <v>108558000</v>
      </c>
      <c r="E72" s="7">
        <v>15082000</v>
      </c>
      <c r="F72" s="47">
        <v>16.100000000000001</v>
      </c>
    </row>
    <row r="73" spans="1:6" x14ac:dyDescent="0.35">
      <c r="A73" s="32" t="s">
        <v>91</v>
      </c>
      <c r="B73" s="11" t="s">
        <v>188</v>
      </c>
      <c r="C73" s="12">
        <v>46738000</v>
      </c>
      <c r="D73" s="12">
        <v>62564000</v>
      </c>
      <c r="E73" s="7">
        <v>15826000</v>
      </c>
      <c r="F73" s="48">
        <v>33.9</v>
      </c>
    </row>
    <row r="74" spans="1:6" x14ac:dyDescent="0.35">
      <c r="A74" s="31" t="s">
        <v>94</v>
      </c>
      <c r="B74" s="5" t="s">
        <v>183</v>
      </c>
      <c r="C74" s="6">
        <v>62331000</v>
      </c>
      <c r="D74" s="6">
        <v>66136000</v>
      </c>
      <c r="E74" s="7">
        <v>3805000</v>
      </c>
      <c r="F74" s="47">
        <v>6.1</v>
      </c>
    </row>
    <row r="75" spans="1:6" x14ac:dyDescent="0.35">
      <c r="A75" s="32" t="s">
        <v>94</v>
      </c>
      <c r="B75" s="11" t="s">
        <v>184</v>
      </c>
      <c r="C75" s="12">
        <v>93496000</v>
      </c>
      <c r="D75" s="12">
        <v>131925000</v>
      </c>
      <c r="E75" s="7">
        <v>38429000</v>
      </c>
      <c r="F75" s="48">
        <v>41.1</v>
      </c>
    </row>
    <row r="76" spans="1:6" x14ac:dyDescent="0.35">
      <c r="A76" s="31" t="s">
        <v>94</v>
      </c>
      <c r="B76" s="5" t="s">
        <v>185</v>
      </c>
      <c r="C76" s="6">
        <v>38957000</v>
      </c>
      <c r="D76" s="6">
        <v>54479000</v>
      </c>
      <c r="E76" s="7">
        <v>15522000</v>
      </c>
      <c r="F76" s="47">
        <v>39.799999999999997</v>
      </c>
    </row>
    <row r="77" spans="1:6" x14ac:dyDescent="0.35">
      <c r="A77" s="32" t="s">
        <v>94</v>
      </c>
      <c r="B77" s="11" t="s">
        <v>186</v>
      </c>
      <c r="C77" s="12">
        <v>467479000</v>
      </c>
      <c r="D77" s="12">
        <v>445039000</v>
      </c>
      <c r="E77" s="12">
        <v>-22440000</v>
      </c>
      <c r="F77" s="48">
        <v>-4.8</v>
      </c>
    </row>
    <row r="78" spans="1:6" x14ac:dyDescent="0.35">
      <c r="A78" s="31" t="s">
        <v>94</v>
      </c>
      <c r="B78" s="5" t="s">
        <v>187</v>
      </c>
      <c r="C78" s="6">
        <v>77913000</v>
      </c>
      <c r="D78" s="6">
        <v>111336000</v>
      </c>
      <c r="E78" s="7">
        <v>33423000</v>
      </c>
      <c r="F78" s="47">
        <v>42.9</v>
      </c>
    </row>
    <row r="79" spans="1:6" x14ac:dyDescent="0.35">
      <c r="A79" s="32" t="s">
        <v>94</v>
      </c>
      <c r="B79" s="11" t="s">
        <v>188</v>
      </c>
      <c r="C79" s="12">
        <v>38957000</v>
      </c>
      <c r="D79" s="12">
        <v>40761000</v>
      </c>
      <c r="E79" s="7">
        <v>1804000</v>
      </c>
      <c r="F79" s="48">
        <v>4.5999999999999996</v>
      </c>
    </row>
    <row r="80" spans="1:6" x14ac:dyDescent="0.35">
      <c r="A80" s="31" t="s">
        <v>98</v>
      </c>
      <c r="B80" s="5" t="s">
        <v>183</v>
      </c>
      <c r="C80" s="6">
        <v>41576000</v>
      </c>
      <c r="D80" s="6">
        <v>49011000</v>
      </c>
      <c r="E80" s="7">
        <v>7435000</v>
      </c>
      <c r="F80" s="47">
        <v>17.899999999999999</v>
      </c>
    </row>
    <row r="81" spans="1:6" x14ac:dyDescent="0.35">
      <c r="A81" s="32" t="s">
        <v>98</v>
      </c>
      <c r="B81" s="11" t="s">
        <v>184</v>
      </c>
      <c r="C81" s="12">
        <v>62364000</v>
      </c>
      <c r="D81" s="12">
        <v>78965000</v>
      </c>
      <c r="E81" s="7">
        <v>16601000</v>
      </c>
      <c r="F81" s="48">
        <v>26.6</v>
      </c>
    </row>
    <row r="82" spans="1:6" x14ac:dyDescent="0.35">
      <c r="A82" s="31" t="s">
        <v>98</v>
      </c>
      <c r="B82" s="5" t="s">
        <v>185</v>
      </c>
      <c r="C82" s="6">
        <v>25985000</v>
      </c>
      <c r="D82" s="6">
        <v>29295000</v>
      </c>
      <c r="E82" s="7">
        <v>3310000</v>
      </c>
      <c r="F82" s="47">
        <v>12.7</v>
      </c>
    </row>
    <row r="83" spans="1:6" x14ac:dyDescent="0.35">
      <c r="A83" s="32" t="s">
        <v>98</v>
      </c>
      <c r="B83" s="11" t="s">
        <v>186</v>
      </c>
      <c r="C83" s="12">
        <v>311820000</v>
      </c>
      <c r="D83" s="12">
        <v>286008000</v>
      </c>
      <c r="E83" s="12">
        <v>-25812000</v>
      </c>
      <c r="F83" s="48">
        <v>-8.3000000000000007</v>
      </c>
    </row>
    <row r="84" spans="1:6" x14ac:dyDescent="0.35">
      <c r="A84" s="31" t="s">
        <v>98</v>
      </c>
      <c r="B84" s="5" t="s">
        <v>187</v>
      </c>
      <c r="C84" s="6">
        <v>51970000</v>
      </c>
      <c r="D84" s="6">
        <v>73307000</v>
      </c>
      <c r="E84" s="7">
        <v>21337000</v>
      </c>
      <c r="F84" s="47">
        <v>41.1</v>
      </c>
    </row>
    <row r="85" spans="1:6" x14ac:dyDescent="0.35">
      <c r="A85" s="32" t="s">
        <v>98</v>
      </c>
      <c r="B85" s="11" t="s">
        <v>188</v>
      </c>
      <c r="C85" s="12">
        <v>25985000</v>
      </c>
      <c r="D85" s="12">
        <v>26222000</v>
      </c>
      <c r="E85" s="7">
        <v>237000</v>
      </c>
      <c r="F85" s="48">
        <v>0.9</v>
      </c>
    </row>
    <row r="86" spans="1:6" x14ac:dyDescent="0.35">
      <c r="A86" s="31" t="s">
        <v>100</v>
      </c>
      <c r="B86" s="5" t="s">
        <v>183</v>
      </c>
      <c r="C86" s="6">
        <v>45349000</v>
      </c>
      <c r="D86" s="6">
        <v>46586000</v>
      </c>
      <c r="E86" s="7">
        <v>1237000</v>
      </c>
      <c r="F86" s="47">
        <v>2.7</v>
      </c>
    </row>
    <row r="87" spans="1:6" x14ac:dyDescent="0.35">
      <c r="A87" s="32" t="s">
        <v>100</v>
      </c>
      <c r="B87" s="11" t="s">
        <v>184</v>
      </c>
      <c r="C87" s="12">
        <v>68023000</v>
      </c>
      <c r="D87" s="12">
        <v>93783000</v>
      </c>
      <c r="E87" s="7">
        <v>25760000</v>
      </c>
      <c r="F87" s="48">
        <v>37.9</v>
      </c>
    </row>
    <row r="88" spans="1:6" x14ac:dyDescent="0.35">
      <c r="A88" s="31" t="s">
        <v>100</v>
      </c>
      <c r="B88" s="5" t="s">
        <v>185</v>
      </c>
      <c r="C88" s="6">
        <v>28343000</v>
      </c>
      <c r="D88" s="6">
        <v>31296000</v>
      </c>
      <c r="E88" s="7">
        <v>2953000</v>
      </c>
      <c r="F88" s="47">
        <v>10.4</v>
      </c>
    </row>
    <row r="89" spans="1:6" x14ac:dyDescent="0.35">
      <c r="A89" s="32" t="s">
        <v>100</v>
      </c>
      <c r="B89" s="11" t="s">
        <v>186</v>
      </c>
      <c r="C89" s="12">
        <v>340116000</v>
      </c>
      <c r="D89" s="12">
        <v>485751000</v>
      </c>
      <c r="E89" s="7">
        <v>145635000</v>
      </c>
      <c r="F89" s="48">
        <v>42.8</v>
      </c>
    </row>
    <row r="90" spans="1:6" x14ac:dyDescent="0.35">
      <c r="A90" s="31" t="s">
        <v>100</v>
      </c>
      <c r="B90" s="5" t="s">
        <v>187</v>
      </c>
      <c r="C90" s="6">
        <v>56686000</v>
      </c>
      <c r="D90" s="6">
        <v>74866000</v>
      </c>
      <c r="E90" s="7">
        <v>18180000</v>
      </c>
      <c r="F90" s="47">
        <v>32.1</v>
      </c>
    </row>
    <row r="91" spans="1:6" x14ac:dyDescent="0.35">
      <c r="A91" s="32" t="s">
        <v>100</v>
      </c>
      <c r="B91" s="11" t="s">
        <v>188</v>
      </c>
      <c r="C91" s="12">
        <v>28343000</v>
      </c>
      <c r="D91" s="12">
        <v>30207000</v>
      </c>
      <c r="E91" s="7">
        <v>1864000</v>
      </c>
      <c r="F91" s="48">
        <v>6.6</v>
      </c>
    </row>
    <row r="92" spans="1:6" x14ac:dyDescent="0.35">
      <c r="A92" s="31" t="s">
        <v>103</v>
      </c>
      <c r="B92" s="5" t="s">
        <v>183</v>
      </c>
      <c r="C92" s="6">
        <v>74432000</v>
      </c>
      <c r="D92" s="6">
        <v>67442000</v>
      </c>
      <c r="E92" s="6">
        <v>-6990000</v>
      </c>
      <c r="F92" s="47">
        <v>-9.4</v>
      </c>
    </row>
    <row r="93" spans="1:6" x14ac:dyDescent="0.35">
      <c r="A93" s="32" t="s">
        <v>103</v>
      </c>
      <c r="B93" s="11" t="s">
        <v>184</v>
      </c>
      <c r="C93" s="12">
        <v>111648000</v>
      </c>
      <c r="D93" s="12">
        <v>163993000</v>
      </c>
      <c r="E93" s="7">
        <v>52345000</v>
      </c>
      <c r="F93" s="48">
        <v>46.9</v>
      </c>
    </row>
    <row r="94" spans="1:6" x14ac:dyDescent="0.35">
      <c r="A94" s="31" t="s">
        <v>103</v>
      </c>
      <c r="B94" s="5" t="s">
        <v>185</v>
      </c>
      <c r="C94" s="6">
        <v>46520000</v>
      </c>
      <c r="D94" s="6">
        <v>44258000</v>
      </c>
      <c r="E94" s="6">
        <v>-2262000</v>
      </c>
      <c r="F94" s="47">
        <v>-4.9000000000000004</v>
      </c>
    </row>
    <row r="95" spans="1:6" x14ac:dyDescent="0.35">
      <c r="A95" s="32" t="s">
        <v>103</v>
      </c>
      <c r="B95" s="11" t="s">
        <v>186</v>
      </c>
      <c r="C95" s="12">
        <v>558239000</v>
      </c>
      <c r="D95" s="12">
        <v>743599000</v>
      </c>
      <c r="E95" s="7">
        <v>185360000</v>
      </c>
      <c r="F95" s="48">
        <v>33.200000000000003</v>
      </c>
    </row>
    <row r="96" spans="1:6" x14ac:dyDescent="0.35">
      <c r="A96" s="31" t="s">
        <v>103</v>
      </c>
      <c r="B96" s="5" t="s">
        <v>187</v>
      </c>
      <c r="C96" s="6">
        <v>93040000</v>
      </c>
      <c r="D96" s="6">
        <v>111010000</v>
      </c>
      <c r="E96" s="7">
        <v>17970000</v>
      </c>
      <c r="F96" s="47">
        <v>19.3</v>
      </c>
    </row>
    <row r="97" spans="1:6" x14ac:dyDescent="0.35">
      <c r="A97" s="32" t="s">
        <v>103</v>
      </c>
      <c r="B97" s="11" t="s">
        <v>188</v>
      </c>
      <c r="C97" s="12">
        <v>46520000</v>
      </c>
      <c r="D97" s="12">
        <v>63030000</v>
      </c>
      <c r="E97" s="7">
        <v>16510000</v>
      </c>
      <c r="F97" s="48">
        <v>35.5</v>
      </c>
    </row>
    <row r="98" spans="1:6" x14ac:dyDescent="0.35">
      <c r="A98" s="31" t="s">
        <v>106</v>
      </c>
      <c r="B98" s="5" t="s">
        <v>183</v>
      </c>
      <c r="C98" s="6">
        <v>14514000</v>
      </c>
      <c r="D98" s="6">
        <v>19077000</v>
      </c>
      <c r="E98" s="7">
        <v>4563000</v>
      </c>
      <c r="F98" s="47">
        <v>31.4</v>
      </c>
    </row>
    <row r="99" spans="1:6" x14ac:dyDescent="0.35">
      <c r="A99" s="32" t="s">
        <v>106</v>
      </c>
      <c r="B99" s="11" t="s">
        <v>184</v>
      </c>
      <c r="C99" s="12">
        <v>21772000</v>
      </c>
      <c r="D99" s="12">
        <v>28032000</v>
      </c>
      <c r="E99" s="7">
        <v>6260000</v>
      </c>
      <c r="F99" s="48">
        <v>28.8</v>
      </c>
    </row>
    <row r="100" spans="1:6" x14ac:dyDescent="0.35">
      <c r="A100" s="31" t="s">
        <v>106</v>
      </c>
      <c r="B100" s="5" t="s">
        <v>185</v>
      </c>
      <c r="C100" s="6">
        <v>9072000</v>
      </c>
      <c r="D100" s="6">
        <v>10836000</v>
      </c>
      <c r="E100" s="7">
        <v>1764000</v>
      </c>
      <c r="F100" s="47">
        <v>19.399999999999999</v>
      </c>
    </row>
    <row r="101" spans="1:6" x14ac:dyDescent="0.35">
      <c r="A101" s="32" t="s">
        <v>106</v>
      </c>
      <c r="B101" s="11" t="s">
        <v>186</v>
      </c>
      <c r="C101" s="12">
        <v>108859000</v>
      </c>
      <c r="D101" s="12">
        <v>149764000</v>
      </c>
      <c r="E101" s="7">
        <v>40905000</v>
      </c>
      <c r="F101" s="48">
        <v>37.6</v>
      </c>
    </row>
    <row r="102" spans="1:6" x14ac:dyDescent="0.35">
      <c r="A102" s="31" t="s">
        <v>106</v>
      </c>
      <c r="B102" s="5" t="s">
        <v>187</v>
      </c>
      <c r="C102" s="6">
        <v>18143000</v>
      </c>
      <c r="D102" s="6">
        <v>17342000</v>
      </c>
      <c r="E102" s="6">
        <v>-801000</v>
      </c>
      <c r="F102" s="47">
        <v>-4.4000000000000004</v>
      </c>
    </row>
    <row r="103" spans="1:6" x14ac:dyDescent="0.35">
      <c r="A103" s="32" t="s">
        <v>106</v>
      </c>
      <c r="B103" s="11" t="s">
        <v>188</v>
      </c>
      <c r="C103" s="12">
        <v>9072000</v>
      </c>
      <c r="D103" s="12">
        <v>9371000</v>
      </c>
      <c r="E103" s="7">
        <v>299000</v>
      </c>
      <c r="F103" s="48">
        <v>3.3</v>
      </c>
    </row>
    <row r="104" spans="1:6" x14ac:dyDescent="0.35">
      <c r="A104" s="31" t="s">
        <v>108</v>
      </c>
      <c r="B104" s="5" t="s">
        <v>183</v>
      </c>
      <c r="C104" s="6">
        <v>93889000</v>
      </c>
      <c r="D104" s="6">
        <v>123471000</v>
      </c>
      <c r="E104" s="7">
        <v>29582000</v>
      </c>
      <c r="F104" s="47">
        <v>31.5</v>
      </c>
    </row>
    <row r="105" spans="1:6" x14ac:dyDescent="0.35">
      <c r="A105" s="32" t="s">
        <v>108</v>
      </c>
      <c r="B105" s="11" t="s">
        <v>184</v>
      </c>
      <c r="C105" s="12">
        <v>140834000</v>
      </c>
      <c r="D105" s="12">
        <v>152625000</v>
      </c>
      <c r="E105" s="7">
        <v>11791000</v>
      </c>
      <c r="F105" s="48">
        <v>8.4</v>
      </c>
    </row>
    <row r="106" spans="1:6" x14ac:dyDescent="0.35">
      <c r="A106" s="31" t="s">
        <v>108</v>
      </c>
      <c r="B106" s="5" t="s">
        <v>185</v>
      </c>
      <c r="C106" s="6">
        <v>58681000</v>
      </c>
      <c r="D106" s="6">
        <v>73289000</v>
      </c>
      <c r="E106" s="7">
        <v>14608000</v>
      </c>
      <c r="F106" s="47">
        <v>24.9</v>
      </c>
    </row>
    <row r="107" spans="1:6" x14ac:dyDescent="0.35">
      <c r="A107" s="32" t="s">
        <v>108</v>
      </c>
      <c r="B107" s="11" t="s">
        <v>186</v>
      </c>
      <c r="C107" s="12">
        <v>704168000</v>
      </c>
      <c r="D107" s="12">
        <v>833704000</v>
      </c>
      <c r="E107" s="7">
        <v>129536000</v>
      </c>
      <c r="F107" s="48">
        <v>18.399999999999999</v>
      </c>
    </row>
    <row r="108" spans="1:6" x14ac:dyDescent="0.35">
      <c r="A108" s="31" t="s">
        <v>108</v>
      </c>
      <c r="B108" s="5" t="s">
        <v>187</v>
      </c>
      <c r="C108" s="6">
        <v>117361000</v>
      </c>
      <c r="D108" s="6">
        <v>143011000</v>
      </c>
      <c r="E108" s="7">
        <v>25650000</v>
      </c>
      <c r="F108" s="47">
        <v>21.9</v>
      </c>
    </row>
    <row r="109" spans="1:6" x14ac:dyDescent="0.35">
      <c r="A109" s="32" t="s">
        <v>108</v>
      </c>
      <c r="B109" s="11" t="s">
        <v>188</v>
      </c>
      <c r="C109" s="12">
        <v>58681000</v>
      </c>
      <c r="D109" s="12">
        <v>67794000</v>
      </c>
      <c r="E109" s="7">
        <v>9113000</v>
      </c>
      <c r="F109" s="48">
        <v>15.5</v>
      </c>
    </row>
    <row r="110" spans="1:6" x14ac:dyDescent="0.35">
      <c r="A110" s="31" t="s">
        <v>111</v>
      </c>
      <c r="B110" s="5" t="s">
        <v>183</v>
      </c>
      <c r="C110" s="6">
        <v>138759000</v>
      </c>
      <c r="D110" s="6">
        <v>186986000</v>
      </c>
      <c r="E110" s="7">
        <v>48227000</v>
      </c>
      <c r="F110" s="47">
        <v>34.799999999999997</v>
      </c>
    </row>
    <row r="111" spans="1:6" x14ac:dyDescent="0.35">
      <c r="A111" s="32" t="s">
        <v>111</v>
      </c>
      <c r="B111" s="11" t="s">
        <v>184</v>
      </c>
      <c r="C111" s="12">
        <v>208138000</v>
      </c>
      <c r="D111" s="12">
        <v>228634000</v>
      </c>
      <c r="E111" s="7">
        <v>20496000</v>
      </c>
      <c r="F111" s="48">
        <v>9.8000000000000007</v>
      </c>
    </row>
    <row r="112" spans="1:6" x14ac:dyDescent="0.35">
      <c r="A112" s="31" t="s">
        <v>111</v>
      </c>
      <c r="B112" s="5" t="s">
        <v>185</v>
      </c>
      <c r="C112" s="6">
        <v>86724000</v>
      </c>
      <c r="D112" s="6">
        <v>114624000</v>
      </c>
      <c r="E112" s="7">
        <v>27900000</v>
      </c>
      <c r="F112" s="47">
        <v>32.200000000000003</v>
      </c>
    </row>
    <row r="113" spans="1:6" x14ac:dyDescent="0.35">
      <c r="A113" s="32" t="s">
        <v>111</v>
      </c>
      <c r="B113" s="11" t="s">
        <v>186</v>
      </c>
      <c r="C113" s="12">
        <v>1040689000</v>
      </c>
      <c r="D113" s="12">
        <v>1105784000</v>
      </c>
      <c r="E113" s="7">
        <v>65095000</v>
      </c>
      <c r="F113" s="48">
        <v>6.3</v>
      </c>
    </row>
    <row r="114" spans="1:6" x14ac:dyDescent="0.35">
      <c r="A114" s="31" t="s">
        <v>111</v>
      </c>
      <c r="B114" s="5" t="s">
        <v>187</v>
      </c>
      <c r="C114" s="6">
        <v>173448000</v>
      </c>
      <c r="D114" s="6">
        <v>182266000</v>
      </c>
      <c r="E114" s="7">
        <v>8818000</v>
      </c>
      <c r="F114" s="47">
        <v>5.0999999999999996</v>
      </c>
    </row>
    <row r="115" spans="1:6" x14ac:dyDescent="0.35">
      <c r="A115" s="32" t="s">
        <v>111</v>
      </c>
      <c r="B115" s="11" t="s">
        <v>188</v>
      </c>
      <c r="C115" s="12">
        <v>86724000</v>
      </c>
      <c r="D115" s="12">
        <v>84330000</v>
      </c>
      <c r="E115" s="12">
        <v>-2394000</v>
      </c>
      <c r="F115" s="48">
        <v>-2.8</v>
      </c>
    </row>
    <row r="116" spans="1:6" x14ac:dyDescent="0.35">
      <c r="A116" s="31" t="s">
        <v>113</v>
      </c>
      <c r="B116" s="5" t="s">
        <v>183</v>
      </c>
      <c r="C116" s="6">
        <v>69814000</v>
      </c>
      <c r="D116" s="6">
        <v>70900000</v>
      </c>
      <c r="E116" s="7">
        <v>1086000</v>
      </c>
      <c r="F116" s="47">
        <v>1.6</v>
      </c>
    </row>
    <row r="117" spans="1:6" x14ac:dyDescent="0.35">
      <c r="A117" s="32" t="s">
        <v>113</v>
      </c>
      <c r="B117" s="11" t="s">
        <v>184</v>
      </c>
      <c r="C117" s="12">
        <v>104720000</v>
      </c>
      <c r="D117" s="12">
        <v>101760000</v>
      </c>
      <c r="E117" s="12">
        <v>-2960000</v>
      </c>
      <c r="F117" s="48">
        <v>-2.8</v>
      </c>
    </row>
    <row r="118" spans="1:6" x14ac:dyDescent="0.35">
      <c r="A118" s="31" t="s">
        <v>113</v>
      </c>
      <c r="B118" s="5" t="s">
        <v>185</v>
      </c>
      <c r="C118" s="6">
        <v>43633000</v>
      </c>
      <c r="D118" s="6">
        <v>53299000</v>
      </c>
      <c r="E118" s="7">
        <v>9666000</v>
      </c>
      <c r="F118" s="47">
        <v>22.2</v>
      </c>
    </row>
    <row r="119" spans="1:6" x14ac:dyDescent="0.35">
      <c r="A119" s="32" t="s">
        <v>113</v>
      </c>
      <c r="B119" s="11" t="s">
        <v>186</v>
      </c>
      <c r="C119" s="12">
        <v>523601000</v>
      </c>
      <c r="D119" s="12">
        <v>710691000</v>
      </c>
      <c r="E119" s="7">
        <v>187090000</v>
      </c>
      <c r="F119" s="48">
        <v>35.700000000000003</v>
      </c>
    </row>
    <row r="120" spans="1:6" x14ac:dyDescent="0.35">
      <c r="A120" s="31" t="s">
        <v>113</v>
      </c>
      <c r="B120" s="5" t="s">
        <v>187</v>
      </c>
      <c r="C120" s="6">
        <v>87267000</v>
      </c>
      <c r="D120" s="6">
        <v>88235000</v>
      </c>
      <c r="E120" s="7">
        <v>968000</v>
      </c>
      <c r="F120" s="47">
        <v>1.1000000000000001</v>
      </c>
    </row>
    <row r="121" spans="1:6" x14ac:dyDescent="0.35">
      <c r="A121" s="32" t="s">
        <v>113</v>
      </c>
      <c r="B121" s="11" t="s">
        <v>188</v>
      </c>
      <c r="C121" s="12">
        <v>43633000</v>
      </c>
      <c r="D121" s="12">
        <v>44935000</v>
      </c>
      <c r="E121" s="7">
        <v>1302000</v>
      </c>
      <c r="F121" s="48">
        <v>3</v>
      </c>
    </row>
    <row r="122" spans="1:6" x14ac:dyDescent="0.35">
      <c r="A122" s="31" t="s">
        <v>115</v>
      </c>
      <c r="B122" s="5" t="s">
        <v>183</v>
      </c>
      <c r="C122" s="6">
        <v>148513000</v>
      </c>
      <c r="D122" s="6">
        <v>176808000</v>
      </c>
      <c r="E122" s="7">
        <v>28295000</v>
      </c>
      <c r="F122" s="47">
        <v>19.100000000000001</v>
      </c>
    </row>
    <row r="123" spans="1:6" x14ac:dyDescent="0.35">
      <c r="A123" s="32" t="s">
        <v>115</v>
      </c>
      <c r="B123" s="11" t="s">
        <v>184</v>
      </c>
      <c r="C123" s="12">
        <v>222770000</v>
      </c>
      <c r="D123" s="12">
        <v>297342000</v>
      </c>
      <c r="E123" s="7">
        <v>74572000</v>
      </c>
      <c r="F123" s="48">
        <v>33.5</v>
      </c>
    </row>
    <row r="124" spans="1:6" x14ac:dyDescent="0.35">
      <c r="A124" s="31" t="s">
        <v>115</v>
      </c>
      <c r="B124" s="5" t="s">
        <v>185</v>
      </c>
      <c r="C124" s="6">
        <v>92821000</v>
      </c>
      <c r="D124" s="6">
        <v>137929000</v>
      </c>
      <c r="E124" s="7">
        <v>45108000</v>
      </c>
      <c r="F124" s="47">
        <v>48.6</v>
      </c>
    </row>
    <row r="125" spans="1:6" x14ac:dyDescent="0.35">
      <c r="A125" s="32" t="s">
        <v>115</v>
      </c>
      <c r="B125" s="11" t="s">
        <v>186</v>
      </c>
      <c r="C125" s="12">
        <v>1113850000</v>
      </c>
      <c r="D125" s="12">
        <v>1353085000</v>
      </c>
      <c r="E125" s="7">
        <v>239235000</v>
      </c>
      <c r="F125" s="48">
        <v>21.5</v>
      </c>
    </row>
    <row r="126" spans="1:6" x14ac:dyDescent="0.35">
      <c r="A126" s="31" t="s">
        <v>115</v>
      </c>
      <c r="B126" s="5" t="s">
        <v>187</v>
      </c>
      <c r="C126" s="6">
        <v>185642000</v>
      </c>
      <c r="D126" s="6">
        <v>198600000</v>
      </c>
      <c r="E126" s="7">
        <v>12958000</v>
      </c>
      <c r="F126" s="47">
        <v>7</v>
      </c>
    </row>
    <row r="127" spans="1:6" x14ac:dyDescent="0.35">
      <c r="A127" s="32" t="s">
        <v>115</v>
      </c>
      <c r="B127" s="11" t="s">
        <v>188</v>
      </c>
      <c r="C127" s="12">
        <v>92821000</v>
      </c>
      <c r="D127" s="12">
        <v>89137000</v>
      </c>
      <c r="E127" s="12">
        <v>-3684000</v>
      </c>
      <c r="F127" s="48">
        <v>-4</v>
      </c>
    </row>
    <row r="128" spans="1:6" x14ac:dyDescent="0.35">
      <c r="A128" s="31" t="s">
        <v>117</v>
      </c>
      <c r="B128" s="5" t="s">
        <v>183</v>
      </c>
      <c r="C128" s="6">
        <v>45372000</v>
      </c>
      <c r="D128" s="6">
        <v>46119000</v>
      </c>
      <c r="E128" s="7">
        <v>747000</v>
      </c>
      <c r="F128" s="47">
        <v>1.6</v>
      </c>
    </row>
    <row r="129" spans="1:6" x14ac:dyDescent="0.35">
      <c r="A129" s="32" t="s">
        <v>117</v>
      </c>
      <c r="B129" s="11" t="s">
        <v>184</v>
      </c>
      <c r="C129" s="12">
        <v>68058000</v>
      </c>
      <c r="D129" s="12">
        <v>70541000</v>
      </c>
      <c r="E129" s="7">
        <v>2483000</v>
      </c>
      <c r="F129" s="48">
        <v>3.6</v>
      </c>
    </row>
    <row r="130" spans="1:6" x14ac:dyDescent="0.35">
      <c r="A130" s="31" t="s">
        <v>117</v>
      </c>
      <c r="B130" s="5" t="s">
        <v>185</v>
      </c>
      <c r="C130" s="6">
        <v>28357000</v>
      </c>
      <c r="D130" s="6">
        <v>28574000</v>
      </c>
      <c r="E130" s="7">
        <v>217000</v>
      </c>
      <c r="F130" s="47">
        <v>0.8</v>
      </c>
    </row>
    <row r="131" spans="1:6" x14ac:dyDescent="0.35">
      <c r="A131" s="32" t="s">
        <v>117</v>
      </c>
      <c r="B131" s="11" t="s">
        <v>186</v>
      </c>
      <c r="C131" s="12">
        <v>340288000</v>
      </c>
      <c r="D131" s="12">
        <v>309148000</v>
      </c>
      <c r="E131" s="12">
        <v>-31140000</v>
      </c>
      <c r="F131" s="48">
        <v>-9.1999999999999993</v>
      </c>
    </row>
    <row r="132" spans="1:6" x14ac:dyDescent="0.35">
      <c r="A132" s="31" t="s">
        <v>117</v>
      </c>
      <c r="B132" s="5" t="s">
        <v>187</v>
      </c>
      <c r="C132" s="6">
        <v>56715000</v>
      </c>
      <c r="D132" s="6">
        <v>69220000</v>
      </c>
      <c r="E132" s="7">
        <v>12505000</v>
      </c>
      <c r="F132" s="47">
        <v>22</v>
      </c>
    </row>
    <row r="133" spans="1:6" x14ac:dyDescent="0.35">
      <c r="A133" s="32" t="s">
        <v>117</v>
      </c>
      <c r="B133" s="11" t="s">
        <v>188</v>
      </c>
      <c r="C133" s="12">
        <v>28357000</v>
      </c>
      <c r="D133" s="12">
        <v>30188000</v>
      </c>
      <c r="E133" s="7">
        <v>1831000</v>
      </c>
      <c r="F133" s="48">
        <v>6.5</v>
      </c>
    </row>
    <row r="134" spans="1:6" x14ac:dyDescent="0.35">
      <c r="A134" s="31" t="s">
        <v>120</v>
      </c>
      <c r="B134" s="5" t="s">
        <v>183</v>
      </c>
      <c r="C134" s="6">
        <v>13509000</v>
      </c>
      <c r="D134" s="6">
        <v>20055000</v>
      </c>
      <c r="E134" s="7">
        <v>6546000</v>
      </c>
      <c r="F134" s="47">
        <v>48.5</v>
      </c>
    </row>
    <row r="135" spans="1:6" x14ac:dyDescent="0.35">
      <c r="A135" s="32" t="s">
        <v>120</v>
      </c>
      <c r="B135" s="11" t="s">
        <v>184</v>
      </c>
      <c r="C135" s="12">
        <v>20264000</v>
      </c>
      <c r="D135" s="12">
        <v>24966000</v>
      </c>
      <c r="E135" s="7">
        <v>4702000</v>
      </c>
      <c r="F135" s="48">
        <v>23.2</v>
      </c>
    </row>
    <row r="136" spans="1:6" x14ac:dyDescent="0.35">
      <c r="A136" s="31" t="s">
        <v>120</v>
      </c>
      <c r="B136" s="5" t="s">
        <v>185</v>
      </c>
      <c r="C136" s="6">
        <v>8443000</v>
      </c>
      <c r="D136" s="6">
        <v>11132000</v>
      </c>
      <c r="E136" s="7">
        <v>2689000</v>
      </c>
      <c r="F136" s="47">
        <v>31.8</v>
      </c>
    </row>
    <row r="137" spans="1:6" x14ac:dyDescent="0.35">
      <c r="A137" s="32" t="s">
        <v>120</v>
      </c>
      <c r="B137" s="11" t="s">
        <v>186</v>
      </c>
      <c r="C137" s="12">
        <v>101320000</v>
      </c>
      <c r="D137" s="12">
        <v>98865000</v>
      </c>
      <c r="E137" s="12">
        <v>-2455000</v>
      </c>
      <c r="F137" s="48">
        <v>-2.4</v>
      </c>
    </row>
    <row r="138" spans="1:6" x14ac:dyDescent="0.35">
      <c r="A138" s="31" t="s">
        <v>120</v>
      </c>
      <c r="B138" s="5" t="s">
        <v>187</v>
      </c>
      <c r="C138" s="6">
        <v>16887000</v>
      </c>
      <c r="D138" s="6">
        <v>23998000</v>
      </c>
      <c r="E138" s="7">
        <v>7111000</v>
      </c>
      <c r="F138" s="47">
        <v>42.1</v>
      </c>
    </row>
    <row r="139" spans="1:6" x14ac:dyDescent="0.35">
      <c r="A139" s="32" t="s">
        <v>120</v>
      </c>
      <c r="B139" s="11" t="s">
        <v>188</v>
      </c>
      <c r="C139" s="12">
        <v>8443000</v>
      </c>
      <c r="D139" s="12">
        <v>10085000</v>
      </c>
      <c r="E139" s="7">
        <v>1642000</v>
      </c>
      <c r="F139" s="48">
        <v>19.5</v>
      </c>
    </row>
    <row r="140" spans="1:6" x14ac:dyDescent="0.35">
      <c r="A140" s="31" t="s">
        <v>123</v>
      </c>
      <c r="B140" s="5" t="s">
        <v>183</v>
      </c>
      <c r="C140" s="6">
        <v>96825000</v>
      </c>
      <c r="D140" s="6">
        <v>137843000</v>
      </c>
      <c r="E140" s="7">
        <v>41018000</v>
      </c>
      <c r="F140" s="47">
        <v>42.4</v>
      </c>
    </row>
    <row r="141" spans="1:6" x14ac:dyDescent="0.35">
      <c r="A141" s="32" t="s">
        <v>123</v>
      </c>
      <c r="B141" s="11" t="s">
        <v>184</v>
      </c>
      <c r="C141" s="12">
        <v>145238000</v>
      </c>
      <c r="D141" s="12">
        <v>180740000</v>
      </c>
      <c r="E141" s="7">
        <v>35502000</v>
      </c>
      <c r="F141" s="48">
        <v>24.4</v>
      </c>
    </row>
    <row r="142" spans="1:6" x14ac:dyDescent="0.35">
      <c r="A142" s="31" t="s">
        <v>123</v>
      </c>
      <c r="B142" s="5" t="s">
        <v>185</v>
      </c>
      <c r="C142" s="6">
        <v>60516000</v>
      </c>
      <c r="D142" s="6">
        <v>71508000</v>
      </c>
      <c r="E142" s="7">
        <v>10992000</v>
      </c>
      <c r="F142" s="47">
        <v>18.2</v>
      </c>
    </row>
    <row r="143" spans="1:6" x14ac:dyDescent="0.35">
      <c r="A143" s="32" t="s">
        <v>123</v>
      </c>
      <c r="B143" s="11" t="s">
        <v>186</v>
      </c>
      <c r="C143" s="12">
        <v>726191000</v>
      </c>
      <c r="D143" s="12">
        <v>845491000</v>
      </c>
      <c r="E143" s="7">
        <v>119300000</v>
      </c>
      <c r="F143" s="48">
        <v>16.399999999999999</v>
      </c>
    </row>
    <row r="144" spans="1:6" x14ac:dyDescent="0.35">
      <c r="A144" s="31" t="s">
        <v>123</v>
      </c>
      <c r="B144" s="5" t="s">
        <v>187</v>
      </c>
      <c r="C144" s="6">
        <v>121032000</v>
      </c>
      <c r="D144" s="6">
        <v>122317000</v>
      </c>
      <c r="E144" s="7">
        <v>1285000</v>
      </c>
      <c r="F144" s="47">
        <v>1.1000000000000001</v>
      </c>
    </row>
    <row r="145" spans="1:6" x14ac:dyDescent="0.35">
      <c r="A145" s="32" t="s">
        <v>123</v>
      </c>
      <c r="B145" s="11" t="s">
        <v>188</v>
      </c>
      <c r="C145" s="12">
        <v>60516000</v>
      </c>
      <c r="D145" s="12">
        <v>56330000</v>
      </c>
      <c r="E145" s="12">
        <v>-4186000</v>
      </c>
      <c r="F145" s="48">
        <v>-6.9</v>
      </c>
    </row>
    <row r="146" spans="1:6" x14ac:dyDescent="0.35">
      <c r="A146" s="31" t="s">
        <v>125</v>
      </c>
      <c r="B146" s="5" t="s">
        <v>183</v>
      </c>
      <c r="C146" s="6">
        <v>92175000</v>
      </c>
      <c r="D146" s="6">
        <v>135003000</v>
      </c>
      <c r="E146" s="7">
        <v>42828000</v>
      </c>
      <c r="F146" s="47">
        <v>46.5</v>
      </c>
    </row>
    <row r="147" spans="1:6" x14ac:dyDescent="0.35">
      <c r="A147" s="32" t="s">
        <v>125</v>
      </c>
      <c r="B147" s="11" t="s">
        <v>184</v>
      </c>
      <c r="C147" s="12">
        <v>138263000</v>
      </c>
      <c r="D147" s="12">
        <v>164068000</v>
      </c>
      <c r="E147" s="7">
        <v>25805000</v>
      </c>
      <c r="F147" s="48">
        <v>18.7</v>
      </c>
    </row>
    <row r="148" spans="1:6" x14ac:dyDescent="0.35">
      <c r="A148" s="31" t="s">
        <v>125</v>
      </c>
      <c r="B148" s="5" t="s">
        <v>185</v>
      </c>
      <c r="C148" s="6">
        <v>57610000</v>
      </c>
      <c r="D148" s="6">
        <v>80266000</v>
      </c>
      <c r="E148" s="7">
        <v>22656000</v>
      </c>
      <c r="F148" s="47">
        <v>39.299999999999997</v>
      </c>
    </row>
    <row r="149" spans="1:6" x14ac:dyDescent="0.35">
      <c r="A149" s="32" t="s">
        <v>125</v>
      </c>
      <c r="B149" s="11" t="s">
        <v>186</v>
      </c>
      <c r="C149" s="12">
        <v>691316000</v>
      </c>
      <c r="D149" s="12">
        <v>788394000</v>
      </c>
      <c r="E149" s="7">
        <v>97078000</v>
      </c>
      <c r="F149" s="48">
        <v>14</v>
      </c>
    </row>
    <row r="150" spans="1:6" x14ac:dyDescent="0.35">
      <c r="A150" s="31" t="s">
        <v>125</v>
      </c>
      <c r="B150" s="5" t="s">
        <v>187</v>
      </c>
      <c r="C150" s="6">
        <v>115219000</v>
      </c>
      <c r="D150" s="6">
        <v>108819000</v>
      </c>
      <c r="E150" s="6">
        <v>-6400000</v>
      </c>
      <c r="F150" s="47">
        <v>-5.6</v>
      </c>
    </row>
    <row r="151" spans="1:6" x14ac:dyDescent="0.35">
      <c r="A151" s="32" t="s">
        <v>125</v>
      </c>
      <c r="B151" s="11" t="s">
        <v>188</v>
      </c>
      <c r="C151" s="12">
        <v>57610000</v>
      </c>
      <c r="D151" s="12">
        <v>73606000</v>
      </c>
      <c r="E151" s="7">
        <v>15996000</v>
      </c>
      <c r="F151" s="48">
        <v>27.8</v>
      </c>
    </row>
    <row r="152" spans="1:6" x14ac:dyDescent="0.35">
      <c r="A152" s="31" t="s">
        <v>127</v>
      </c>
      <c r="B152" s="5" t="s">
        <v>183</v>
      </c>
      <c r="C152" s="6">
        <v>148927000</v>
      </c>
      <c r="D152" s="6">
        <v>138825000</v>
      </c>
      <c r="E152" s="6">
        <v>-10102000</v>
      </c>
      <c r="F152" s="47">
        <v>-6.8</v>
      </c>
    </row>
    <row r="153" spans="1:6" x14ac:dyDescent="0.35">
      <c r="A153" s="32" t="s">
        <v>127</v>
      </c>
      <c r="B153" s="11" t="s">
        <v>184</v>
      </c>
      <c r="C153" s="12">
        <v>223390000</v>
      </c>
      <c r="D153" s="12">
        <v>221049000</v>
      </c>
      <c r="E153" s="12">
        <v>-2341000</v>
      </c>
      <c r="F153" s="48">
        <v>-1</v>
      </c>
    </row>
    <row r="154" spans="1:6" x14ac:dyDescent="0.35">
      <c r="A154" s="31" t="s">
        <v>127</v>
      </c>
      <c r="B154" s="5" t="s">
        <v>185</v>
      </c>
      <c r="C154" s="6">
        <v>93079000</v>
      </c>
      <c r="D154" s="6">
        <v>115204000</v>
      </c>
      <c r="E154" s="7">
        <v>22125000</v>
      </c>
      <c r="F154" s="47">
        <v>23.8</v>
      </c>
    </row>
    <row r="155" spans="1:6" x14ac:dyDescent="0.35">
      <c r="A155" s="32" t="s">
        <v>127</v>
      </c>
      <c r="B155" s="11" t="s">
        <v>186</v>
      </c>
      <c r="C155" s="12">
        <v>1116952000</v>
      </c>
      <c r="D155" s="12">
        <v>1208879000</v>
      </c>
      <c r="E155" s="7">
        <v>91927000</v>
      </c>
      <c r="F155" s="48">
        <v>8.1999999999999993</v>
      </c>
    </row>
    <row r="156" spans="1:6" x14ac:dyDescent="0.35">
      <c r="A156" s="31" t="s">
        <v>127</v>
      </c>
      <c r="B156" s="5" t="s">
        <v>187</v>
      </c>
      <c r="C156" s="6">
        <v>186159000</v>
      </c>
      <c r="D156" s="6">
        <v>278559000</v>
      </c>
      <c r="E156" s="7">
        <v>92400000</v>
      </c>
      <c r="F156" s="47">
        <v>49.6</v>
      </c>
    </row>
    <row r="157" spans="1:6" x14ac:dyDescent="0.35">
      <c r="A157" s="32" t="s">
        <v>127</v>
      </c>
      <c r="B157" s="11" t="s">
        <v>188</v>
      </c>
      <c r="C157" s="12">
        <v>93079000</v>
      </c>
      <c r="D157" s="12">
        <v>90386000</v>
      </c>
      <c r="E157" s="12">
        <v>-2693000</v>
      </c>
      <c r="F157" s="48">
        <v>-2.9</v>
      </c>
    </row>
    <row r="158" spans="1:6" x14ac:dyDescent="0.35">
      <c r="A158" s="31" t="s">
        <v>129</v>
      </c>
      <c r="B158" s="5" t="s">
        <v>183</v>
      </c>
      <c r="C158" s="6">
        <v>141415000</v>
      </c>
      <c r="D158" s="6">
        <v>192136000</v>
      </c>
      <c r="E158" s="7">
        <v>50721000</v>
      </c>
      <c r="F158" s="47">
        <v>35.9</v>
      </c>
    </row>
    <row r="159" spans="1:6" x14ac:dyDescent="0.35">
      <c r="A159" s="32" t="s">
        <v>129</v>
      </c>
      <c r="B159" s="11" t="s">
        <v>184</v>
      </c>
      <c r="C159" s="12">
        <v>212122000</v>
      </c>
      <c r="D159" s="12">
        <v>268078000</v>
      </c>
      <c r="E159" s="7">
        <v>55956000</v>
      </c>
      <c r="F159" s="48">
        <v>26.4</v>
      </c>
    </row>
    <row r="160" spans="1:6" x14ac:dyDescent="0.35">
      <c r="A160" s="31" t="s">
        <v>129</v>
      </c>
      <c r="B160" s="5" t="s">
        <v>185</v>
      </c>
      <c r="C160" s="6">
        <v>88384000</v>
      </c>
      <c r="D160" s="6">
        <v>121479000</v>
      </c>
      <c r="E160" s="7">
        <v>33095000</v>
      </c>
      <c r="F160" s="47">
        <v>37.4</v>
      </c>
    </row>
    <row r="161" spans="1:6" x14ac:dyDescent="0.35">
      <c r="A161" s="32" t="s">
        <v>129</v>
      </c>
      <c r="B161" s="11" t="s">
        <v>186</v>
      </c>
      <c r="C161" s="12">
        <v>1060611000</v>
      </c>
      <c r="D161" s="12">
        <v>1098170000</v>
      </c>
      <c r="E161" s="7">
        <v>37559000</v>
      </c>
      <c r="F161" s="48">
        <v>3.5</v>
      </c>
    </row>
    <row r="162" spans="1:6" x14ac:dyDescent="0.35">
      <c r="A162" s="31" t="s">
        <v>129</v>
      </c>
      <c r="B162" s="5" t="s">
        <v>187</v>
      </c>
      <c r="C162" s="6">
        <v>176768000</v>
      </c>
      <c r="D162" s="6">
        <v>214516000</v>
      </c>
      <c r="E162" s="7">
        <v>37748000</v>
      </c>
      <c r="F162" s="47">
        <v>21.4</v>
      </c>
    </row>
    <row r="163" spans="1:6" x14ac:dyDescent="0.35">
      <c r="A163" s="32" t="s">
        <v>129</v>
      </c>
      <c r="B163" s="11" t="s">
        <v>188</v>
      </c>
      <c r="C163" s="12">
        <v>88384000</v>
      </c>
      <c r="D163" s="12">
        <v>103437000</v>
      </c>
      <c r="E163" s="7">
        <v>15053000</v>
      </c>
      <c r="F163" s="48">
        <v>17</v>
      </c>
    </row>
    <row r="164" spans="1:6" x14ac:dyDescent="0.35">
      <c r="A164" s="31" t="s">
        <v>131</v>
      </c>
      <c r="B164" s="5" t="s">
        <v>183</v>
      </c>
      <c r="C164" s="6">
        <v>50703000</v>
      </c>
      <c r="D164" s="6">
        <v>59101000</v>
      </c>
      <c r="E164" s="7">
        <v>8398000</v>
      </c>
      <c r="F164" s="47">
        <v>16.600000000000001</v>
      </c>
    </row>
    <row r="165" spans="1:6" x14ac:dyDescent="0.35">
      <c r="A165" s="32" t="s">
        <v>131</v>
      </c>
      <c r="B165" s="11" t="s">
        <v>184</v>
      </c>
      <c r="C165" s="12">
        <v>76055000</v>
      </c>
      <c r="D165" s="12">
        <v>107701000</v>
      </c>
      <c r="E165" s="7">
        <v>31646000</v>
      </c>
      <c r="F165" s="48">
        <v>41.6</v>
      </c>
    </row>
    <row r="166" spans="1:6" x14ac:dyDescent="0.35">
      <c r="A166" s="31" t="s">
        <v>131</v>
      </c>
      <c r="B166" s="5" t="s">
        <v>185</v>
      </c>
      <c r="C166" s="6">
        <v>31689000</v>
      </c>
      <c r="D166" s="6">
        <v>47344000</v>
      </c>
      <c r="E166" s="7">
        <v>15655000</v>
      </c>
      <c r="F166" s="47">
        <v>49.4</v>
      </c>
    </row>
    <row r="167" spans="1:6" x14ac:dyDescent="0.35">
      <c r="A167" s="32" t="s">
        <v>131</v>
      </c>
      <c r="B167" s="11" t="s">
        <v>186</v>
      </c>
      <c r="C167" s="12">
        <v>380273000</v>
      </c>
      <c r="D167" s="12">
        <v>411922000</v>
      </c>
      <c r="E167" s="7">
        <v>31649000</v>
      </c>
      <c r="F167" s="48">
        <v>8.3000000000000007</v>
      </c>
    </row>
    <row r="168" spans="1:6" x14ac:dyDescent="0.35">
      <c r="A168" s="31" t="s">
        <v>131</v>
      </c>
      <c r="B168" s="5" t="s">
        <v>187</v>
      </c>
      <c r="C168" s="6">
        <v>63379000</v>
      </c>
      <c r="D168" s="6">
        <v>80657000</v>
      </c>
      <c r="E168" s="7">
        <v>17278000</v>
      </c>
      <c r="F168" s="47">
        <v>27.3</v>
      </c>
    </row>
    <row r="169" spans="1:6" x14ac:dyDescent="0.35">
      <c r="A169" s="32" t="s">
        <v>131</v>
      </c>
      <c r="B169" s="11" t="s">
        <v>188</v>
      </c>
      <c r="C169" s="12">
        <v>31689000</v>
      </c>
      <c r="D169" s="12">
        <v>40111000</v>
      </c>
      <c r="E169" s="7">
        <v>8422000</v>
      </c>
      <c r="F169" s="48">
        <v>26.6</v>
      </c>
    </row>
    <row r="170" spans="1:6" x14ac:dyDescent="0.35">
      <c r="A170" s="31" t="s">
        <v>133</v>
      </c>
      <c r="B170" s="5" t="s">
        <v>183</v>
      </c>
      <c r="C170" s="6">
        <v>35761000</v>
      </c>
      <c r="D170" s="6">
        <v>48065000</v>
      </c>
      <c r="E170" s="7">
        <v>12304000</v>
      </c>
      <c r="F170" s="47">
        <v>34.4</v>
      </c>
    </row>
    <row r="171" spans="1:6" x14ac:dyDescent="0.35">
      <c r="A171" s="32" t="s">
        <v>133</v>
      </c>
      <c r="B171" s="11" t="s">
        <v>184</v>
      </c>
      <c r="C171" s="12">
        <v>53642000</v>
      </c>
      <c r="D171" s="12">
        <v>78776000</v>
      </c>
      <c r="E171" s="7">
        <v>25134000</v>
      </c>
      <c r="F171" s="48">
        <v>46.9</v>
      </c>
    </row>
    <row r="172" spans="1:6" x14ac:dyDescent="0.35">
      <c r="A172" s="31" t="s">
        <v>133</v>
      </c>
      <c r="B172" s="5" t="s">
        <v>185</v>
      </c>
      <c r="C172" s="6">
        <v>22351000</v>
      </c>
      <c r="D172" s="6">
        <v>22902000</v>
      </c>
      <c r="E172" s="7">
        <v>551000</v>
      </c>
      <c r="F172" s="47">
        <v>2.5</v>
      </c>
    </row>
    <row r="173" spans="1:6" x14ac:dyDescent="0.35">
      <c r="A173" s="32" t="s">
        <v>133</v>
      </c>
      <c r="B173" s="11" t="s">
        <v>186</v>
      </c>
      <c r="C173" s="12">
        <v>268209000</v>
      </c>
      <c r="D173" s="12">
        <v>275347000</v>
      </c>
      <c r="E173" s="7">
        <v>7138000</v>
      </c>
      <c r="F173" s="48">
        <v>2.7</v>
      </c>
    </row>
    <row r="174" spans="1:6" x14ac:dyDescent="0.35">
      <c r="A174" s="31" t="s">
        <v>133</v>
      </c>
      <c r="B174" s="5" t="s">
        <v>187</v>
      </c>
      <c r="C174" s="6">
        <v>44702000</v>
      </c>
      <c r="D174" s="6">
        <v>57945000</v>
      </c>
      <c r="E174" s="7">
        <v>13243000</v>
      </c>
      <c r="F174" s="47">
        <v>29.6</v>
      </c>
    </row>
    <row r="175" spans="1:6" x14ac:dyDescent="0.35">
      <c r="A175" s="32" t="s">
        <v>133</v>
      </c>
      <c r="B175" s="11" t="s">
        <v>188</v>
      </c>
      <c r="C175" s="12">
        <v>22351000</v>
      </c>
      <c r="D175" s="12">
        <v>22222000</v>
      </c>
      <c r="E175" s="12">
        <v>-129000</v>
      </c>
      <c r="F175" s="48">
        <v>-0.6</v>
      </c>
    </row>
    <row r="176" spans="1:6" x14ac:dyDescent="0.35">
      <c r="A176" s="31" t="s">
        <v>136</v>
      </c>
      <c r="B176" s="5" t="s">
        <v>183</v>
      </c>
      <c r="C176" s="6">
        <v>124295000</v>
      </c>
      <c r="D176" s="6">
        <v>124828000</v>
      </c>
      <c r="E176" s="7">
        <v>533000</v>
      </c>
      <c r="F176" s="47">
        <v>0.4</v>
      </c>
    </row>
    <row r="177" spans="1:6" x14ac:dyDescent="0.35">
      <c r="A177" s="32" t="s">
        <v>136</v>
      </c>
      <c r="B177" s="11" t="s">
        <v>184</v>
      </c>
      <c r="C177" s="12">
        <v>186442000</v>
      </c>
      <c r="D177" s="12">
        <v>176195000</v>
      </c>
      <c r="E177" s="12">
        <v>-10247000</v>
      </c>
      <c r="F177" s="48">
        <v>-5.5</v>
      </c>
    </row>
    <row r="178" spans="1:6" x14ac:dyDescent="0.35">
      <c r="A178" s="31" t="s">
        <v>136</v>
      </c>
      <c r="B178" s="5" t="s">
        <v>185</v>
      </c>
      <c r="C178" s="6">
        <v>77684000</v>
      </c>
      <c r="D178" s="6">
        <v>70040000</v>
      </c>
      <c r="E178" s="6">
        <v>-7644000</v>
      </c>
      <c r="F178" s="47">
        <v>-9.8000000000000007</v>
      </c>
    </row>
    <row r="179" spans="1:6" x14ac:dyDescent="0.35">
      <c r="A179" s="32" t="s">
        <v>136</v>
      </c>
      <c r="B179" s="11" t="s">
        <v>186</v>
      </c>
      <c r="C179" s="12">
        <v>932209000</v>
      </c>
      <c r="D179" s="12">
        <v>1090966000</v>
      </c>
      <c r="E179" s="7">
        <v>158757000</v>
      </c>
      <c r="F179" s="48">
        <v>17</v>
      </c>
    </row>
    <row r="180" spans="1:6" x14ac:dyDescent="0.35">
      <c r="A180" s="31" t="s">
        <v>136</v>
      </c>
      <c r="B180" s="5" t="s">
        <v>187</v>
      </c>
      <c r="C180" s="6">
        <v>155368000</v>
      </c>
      <c r="D180" s="6">
        <v>195187000</v>
      </c>
      <c r="E180" s="7">
        <v>39819000</v>
      </c>
      <c r="F180" s="47">
        <v>25.6</v>
      </c>
    </row>
    <row r="181" spans="1:6" x14ac:dyDescent="0.35">
      <c r="A181" s="32" t="s">
        <v>136</v>
      </c>
      <c r="B181" s="11" t="s">
        <v>188</v>
      </c>
      <c r="C181" s="12">
        <v>77684000</v>
      </c>
      <c r="D181" s="12">
        <v>83491000</v>
      </c>
      <c r="E181" s="7">
        <v>5807000</v>
      </c>
      <c r="F181" s="48">
        <v>7.5</v>
      </c>
    </row>
    <row r="182" spans="1:6" x14ac:dyDescent="0.35">
      <c r="A182" s="31" t="s">
        <v>138</v>
      </c>
      <c r="B182" s="5" t="s">
        <v>183</v>
      </c>
      <c r="C182" s="6">
        <v>151428000</v>
      </c>
      <c r="D182" s="6">
        <v>157316000</v>
      </c>
      <c r="E182" s="7">
        <v>5888000</v>
      </c>
      <c r="F182" s="47">
        <v>3.9</v>
      </c>
    </row>
    <row r="183" spans="1:6" x14ac:dyDescent="0.35">
      <c r="A183" s="32" t="s">
        <v>138</v>
      </c>
      <c r="B183" s="11" t="s">
        <v>184</v>
      </c>
      <c r="C183" s="12">
        <v>227142000</v>
      </c>
      <c r="D183" s="12">
        <v>300775000</v>
      </c>
      <c r="E183" s="7">
        <v>73633000</v>
      </c>
      <c r="F183" s="48">
        <v>32.4</v>
      </c>
    </row>
    <row r="184" spans="1:6" x14ac:dyDescent="0.35">
      <c r="A184" s="31" t="s">
        <v>138</v>
      </c>
      <c r="B184" s="5" t="s">
        <v>185</v>
      </c>
      <c r="C184" s="6">
        <v>94642000</v>
      </c>
      <c r="D184" s="6">
        <v>125097000</v>
      </c>
      <c r="E184" s="7">
        <v>30455000</v>
      </c>
      <c r="F184" s="47">
        <v>32.200000000000003</v>
      </c>
    </row>
    <row r="185" spans="1:6" x14ac:dyDescent="0.35">
      <c r="A185" s="32" t="s">
        <v>138</v>
      </c>
      <c r="B185" s="11" t="s">
        <v>186</v>
      </c>
      <c r="C185" s="12">
        <v>1135709000</v>
      </c>
      <c r="D185" s="12">
        <v>1331527000</v>
      </c>
      <c r="E185" s="7">
        <v>195818000</v>
      </c>
      <c r="F185" s="48">
        <v>17.2</v>
      </c>
    </row>
    <row r="186" spans="1:6" x14ac:dyDescent="0.35">
      <c r="A186" s="31" t="s">
        <v>138</v>
      </c>
      <c r="B186" s="5" t="s">
        <v>187</v>
      </c>
      <c r="C186" s="6">
        <v>189285000</v>
      </c>
      <c r="D186" s="6">
        <v>248423000</v>
      </c>
      <c r="E186" s="7">
        <v>59138000</v>
      </c>
      <c r="F186" s="47">
        <v>31.2</v>
      </c>
    </row>
    <row r="187" spans="1:6" x14ac:dyDescent="0.35">
      <c r="A187" s="32" t="s">
        <v>138</v>
      </c>
      <c r="B187" s="11" t="s">
        <v>188</v>
      </c>
      <c r="C187" s="12">
        <v>94642000</v>
      </c>
      <c r="D187" s="12">
        <v>137642000</v>
      </c>
      <c r="E187" s="7">
        <v>43000000</v>
      </c>
      <c r="F187" s="48">
        <v>45.4</v>
      </c>
    </row>
    <row r="188" spans="1:6" x14ac:dyDescent="0.35">
      <c r="A188" s="31" t="s">
        <v>140</v>
      </c>
      <c r="B188" s="5" t="s">
        <v>183</v>
      </c>
      <c r="C188" s="6">
        <v>60886000</v>
      </c>
      <c r="D188" s="6">
        <v>83578000</v>
      </c>
      <c r="E188" s="7">
        <v>22692000</v>
      </c>
      <c r="F188" s="47">
        <v>37.299999999999997</v>
      </c>
    </row>
    <row r="189" spans="1:6" x14ac:dyDescent="0.35">
      <c r="A189" s="32" t="s">
        <v>140</v>
      </c>
      <c r="B189" s="11" t="s">
        <v>184</v>
      </c>
      <c r="C189" s="12">
        <v>91328000</v>
      </c>
      <c r="D189" s="12">
        <v>116446000</v>
      </c>
      <c r="E189" s="7">
        <v>25118000</v>
      </c>
      <c r="F189" s="48">
        <v>27.5</v>
      </c>
    </row>
    <row r="190" spans="1:6" x14ac:dyDescent="0.35">
      <c r="A190" s="31" t="s">
        <v>140</v>
      </c>
      <c r="B190" s="5" t="s">
        <v>185</v>
      </c>
      <c r="C190" s="6">
        <v>38054000</v>
      </c>
      <c r="D190" s="6">
        <v>49345000</v>
      </c>
      <c r="E190" s="7">
        <v>11291000</v>
      </c>
      <c r="F190" s="47">
        <v>29.7</v>
      </c>
    </row>
    <row r="191" spans="1:6" x14ac:dyDescent="0.35">
      <c r="A191" s="32" t="s">
        <v>140</v>
      </c>
      <c r="B191" s="11" t="s">
        <v>186</v>
      </c>
      <c r="C191" s="12">
        <v>456642000</v>
      </c>
      <c r="D191" s="12">
        <v>666789000</v>
      </c>
      <c r="E191" s="7">
        <v>210147000</v>
      </c>
      <c r="F191" s="48">
        <v>46</v>
      </c>
    </row>
    <row r="192" spans="1:6" x14ac:dyDescent="0.35">
      <c r="A192" s="31" t="s">
        <v>140</v>
      </c>
      <c r="B192" s="5" t="s">
        <v>187</v>
      </c>
      <c r="C192" s="6">
        <v>76107000</v>
      </c>
      <c r="D192" s="6">
        <v>87910000</v>
      </c>
      <c r="E192" s="7">
        <v>11803000</v>
      </c>
      <c r="F192" s="47">
        <v>15.5</v>
      </c>
    </row>
    <row r="193" spans="1:6" x14ac:dyDescent="0.35">
      <c r="A193" s="32" t="s">
        <v>140</v>
      </c>
      <c r="B193" s="11" t="s">
        <v>188</v>
      </c>
      <c r="C193" s="12">
        <v>38054000</v>
      </c>
      <c r="D193" s="12">
        <v>46682000</v>
      </c>
      <c r="E193" s="7">
        <v>8628000</v>
      </c>
      <c r="F193" s="48">
        <v>22.7</v>
      </c>
    </row>
    <row r="194" spans="1:6" x14ac:dyDescent="0.35">
      <c r="A194" s="31" t="s">
        <v>143</v>
      </c>
      <c r="B194" s="5" t="s">
        <v>183</v>
      </c>
      <c r="C194" s="6">
        <v>120918000</v>
      </c>
      <c r="D194" s="6">
        <v>155813000</v>
      </c>
      <c r="E194" s="7">
        <v>34895000</v>
      </c>
      <c r="F194" s="47">
        <v>28.9</v>
      </c>
    </row>
    <row r="195" spans="1:6" x14ac:dyDescent="0.35">
      <c r="A195" s="32" t="s">
        <v>143</v>
      </c>
      <c r="B195" s="11" t="s">
        <v>184</v>
      </c>
      <c r="C195" s="12">
        <v>181378000</v>
      </c>
      <c r="D195" s="12">
        <v>262100000</v>
      </c>
      <c r="E195" s="7">
        <v>80722000</v>
      </c>
      <c r="F195" s="48">
        <v>44.5</v>
      </c>
    </row>
    <row r="196" spans="1:6" x14ac:dyDescent="0.35">
      <c r="A196" s="31" t="s">
        <v>143</v>
      </c>
      <c r="B196" s="5" t="s">
        <v>185</v>
      </c>
      <c r="C196" s="6">
        <v>75574000</v>
      </c>
      <c r="D196" s="6">
        <v>105500000</v>
      </c>
      <c r="E196" s="7">
        <v>29926000</v>
      </c>
      <c r="F196" s="47">
        <v>39.6</v>
      </c>
    </row>
    <row r="197" spans="1:6" x14ac:dyDescent="0.35">
      <c r="A197" s="32" t="s">
        <v>143</v>
      </c>
      <c r="B197" s="11" t="s">
        <v>186</v>
      </c>
      <c r="C197" s="12">
        <v>906889000</v>
      </c>
      <c r="D197" s="12">
        <v>855057000</v>
      </c>
      <c r="E197" s="12">
        <v>-51832000</v>
      </c>
      <c r="F197" s="48">
        <v>-5.7</v>
      </c>
    </row>
    <row r="198" spans="1:6" x14ac:dyDescent="0.35">
      <c r="A198" s="31" t="s">
        <v>143</v>
      </c>
      <c r="B198" s="5" t="s">
        <v>187</v>
      </c>
      <c r="C198" s="6">
        <v>151148000</v>
      </c>
      <c r="D198" s="6">
        <v>151081000</v>
      </c>
      <c r="E198" s="6">
        <v>-67000</v>
      </c>
      <c r="F198" s="47">
        <v>0</v>
      </c>
    </row>
    <row r="199" spans="1:6" x14ac:dyDescent="0.35">
      <c r="A199" s="32" t="s">
        <v>143</v>
      </c>
      <c r="B199" s="11" t="s">
        <v>188</v>
      </c>
      <c r="C199" s="12">
        <v>75574000</v>
      </c>
      <c r="D199" s="12">
        <v>81965000</v>
      </c>
      <c r="E199" s="7">
        <v>6391000</v>
      </c>
      <c r="F199" s="48">
        <v>8.5</v>
      </c>
    </row>
    <row r="200" spans="1:6" x14ac:dyDescent="0.35">
      <c r="A200" s="31" t="s">
        <v>145</v>
      </c>
      <c r="B200" s="5" t="s">
        <v>183</v>
      </c>
      <c r="C200" s="6">
        <v>28835000</v>
      </c>
      <c r="D200" s="6">
        <v>38909000</v>
      </c>
      <c r="E200" s="7">
        <v>10074000</v>
      </c>
      <c r="F200" s="47">
        <v>34.9</v>
      </c>
    </row>
    <row r="201" spans="1:6" x14ac:dyDescent="0.35">
      <c r="A201" s="32" t="s">
        <v>145</v>
      </c>
      <c r="B201" s="11" t="s">
        <v>184</v>
      </c>
      <c r="C201" s="12">
        <v>43252000</v>
      </c>
      <c r="D201" s="12">
        <v>53698000</v>
      </c>
      <c r="E201" s="7">
        <v>10446000</v>
      </c>
      <c r="F201" s="48">
        <v>24.2</v>
      </c>
    </row>
    <row r="202" spans="1:6" x14ac:dyDescent="0.35">
      <c r="A202" s="31" t="s">
        <v>145</v>
      </c>
      <c r="B202" s="5" t="s">
        <v>185</v>
      </c>
      <c r="C202" s="6">
        <v>18022000</v>
      </c>
      <c r="D202" s="6">
        <v>19341000</v>
      </c>
      <c r="E202" s="7">
        <v>1319000</v>
      </c>
      <c r="F202" s="47">
        <v>7.3</v>
      </c>
    </row>
    <row r="203" spans="1:6" x14ac:dyDescent="0.35">
      <c r="A203" s="32" t="s">
        <v>145</v>
      </c>
      <c r="B203" s="11" t="s">
        <v>186</v>
      </c>
      <c r="C203" s="12">
        <v>216262000</v>
      </c>
      <c r="D203" s="12">
        <v>210772000</v>
      </c>
      <c r="E203" s="12">
        <v>-5490000</v>
      </c>
      <c r="F203" s="48">
        <v>-2.5</v>
      </c>
    </row>
    <row r="204" spans="1:6" x14ac:dyDescent="0.35">
      <c r="A204" s="31" t="s">
        <v>145</v>
      </c>
      <c r="B204" s="5" t="s">
        <v>187</v>
      </c>
      <c r="C204" s="6">
        <v>36044000</v>
      </c>
      <c r="D204" s="6">
        <v>47333000</v>
      </c>
      <c r="E204" s="7">
        <v>11289000</v>
      </c>
      <c r="F204" s="47">
        <v>31.3</v>
      </c>
    </row>
    <row r="205" spans="1:6" x14ac:dyDescent="0.35">
      <c r="A205" s="32" t="s">
        <v>145</v>
      </c>
      <c r="B205" s="11" t="s">
        <v>188</v>
      </c>
      <c r="C205" s="12">
        <v>18022000</v>
      </c>
      <c r="D205" s="12">
        <v>23786000</v>
      </c>
      <c r="E205" s="7">
        <v>5764000</v>
      </c>
      <c r="F205" s="48">
        <v>32</v>
      </c>
    </row>
    <row r="206" spans="1:6" x14ac:dyDescent="0.35">
      <c r="A206" s="31" t="s">
        <v>147</v>
      </c>
      <c r="B206" s="5" t="s">
        <v>183</v>
      </c>
      <c r="C206" s="6">
        <v>7692000</v>
      </c>
      <c r="D206" s="6">
        <v>11273000</v>
      </c>
      <c r="E206" s="7">
        <v>3581000</v>
      </c>
      <c r="F206" s="47">
        <v>46.6</v>
      </c>
    </row>
    <row r="207" spans="1:6" x14ac:dyDescent="0.35">
      <c r="A207" s="32" t="s">
        <v>147</v>
      </c>
      <c r="B207" s="11" t="s">
        <v>184</v>
      </c>
      <c r="C207" s="12">
        <v>11538000</v>
      </c>
      <c r="D207" s="12">
        <v>13849000</v>
      </c>
      <c r="E207" s="7">
        <v>2311000</v>
      </c>
      <c r="F207" s="48">
        <v>20</v>
      </c>
    </row>
    <row r="208" spans="1:6" x14ac:dyDescent="0.35">
      <c r="A208" s="31" t="s">
        <v>147</v>
      </c>
      <c r="B208" s="5" t="s">
        <v>185</v>
      </c>
      <c r="C208" s="6">
        <v>4807000</v>
      </c>
      <c r="D208" s="6">
        <v>5751000</v>
      </c>
      <c r="E208" s="7">
        <v>944000</v>
      </c>
      <c r="F208" s="47">
        <v>19.600000000000001</v>
      </c>
    </row>
    <row r="209" spans="1:6" x14ac:dyDescent="0.35">
      <c r="A209" s="32" t="s">
        <v>147</v>
      </c>
      <c r="B209" s="11" t="s">
        <v>186</v>
      </c>
      <c r="C209" s="12">
        <v>57688000</v>
      </c>
      <c r="D209" s="12">
        <v>54704000</v>
      </c>
      <c r="E209" s="12">
        <v>-2984000</v>
      </c>
      <c r="F209" s="48">
        <v>-5.2</v>
      </c>
    </row>
    <row r="210" spans="1:6" x14ac:dyDescent="0.35">
      <c r="A210" s="31" t="s">
        <v>147</v>
      </c>
      <c r="B210" s="5" t="s">
        <v>187</v>
      </c>
      <c r="C210" s="6">
        <v>9615000</v>
      </c>
      <c r="D210" s="6">
        <v>8883000</v>
      </c>
      <c r="E210" s="6">
        <v>-732000</v>
      </c>
      <c r="F210" s="47">
        <v>-7.6</v>
      </c>
    </row>
    <row r="211" spans="1:6" x14ac:dyDescent="0.35">
      <c r="A211" s="32" t="s">
        <v>147</v>
      </c>
      <c r="B211" s="11" t="s">
        <v>188</v>
      </c>
      <c r="C211" s="12">
        <v>4807000</v>
      </c>
      <c r="D211" s="12">
        <v>5572000</v>
      </c>
      <c r="E211" s="7">
        <v>765000</v>
      </c>
      <c r="F211" s="48">
        <v>15.9</v>
      </c>
    </row>
    <row r="212" spans="1:6" x14ac:dyDescent="0.35">
      <c r="A212" s="31" t="s">
        <v>149</v>
      </c>
      <c r="B212" s="5" t="s">
        <v>183</v>
      </c>
      <c r="C212" s="6">
        <v>21993000</v>
      </c>
      <c r="D212" s="6">
        <v>24047000</v>
      </c>
      <c r="E212" s="7">
        <v>2054000</v>
      </c>
      <c r="F212" s="47">
        <v>9.3000000000000007</v>
      </c>
    </row>
    <row r="213" spans="1:6" x14ac:dyDescent="0.35">
      <c r="A213" s="32" t="s">
        <v>149</v>
      </c>
      <c r="B213" s="11" t="s">
        <v>184</v>
      </c>
      <c r="C213" s="12">
        <v>32990000</v>
      </c>
      <c r="D213" s="12">
        <v>34647000</v>
      </c>
      <c r="E213" s="7">
        <v>1657000</v>
      </c>
      <c r="F213" s="48">
        <v>5</v>
      </c>
    </row>
    <row r="214" spans="1:6" x14ac:dyDescent="0.35">
      <c r="A214" s="31" t="s">
        <v>149</v>
      </c>
      <c r="B214" s="5" t="s">
        <v>185</v>
      </c>
      <c r="C214" s="6">
        <v>13746000</v>
      </c>
      <c r="D214" s="6">
        <v>13125000</v>
      </c>
      <c r="E214" s="6">
        <v>-621000</v>
      </c>
      <c r="F214" s="47">
        <v>-4.5</v>
      </c>
    </row>
    <row r="215" spans="1:6" x14ac:dyDescent="0.35">
      <c r="A215" s="32" t="s">
        <v>149</v>
      </c>
      <c r="B215" s="11" t="s">
        <v>186</v>
      </c>
      <c r="C215" s="12">
        <v>164950000</v>
      </c>
      <c r="D215" s="12">
        <v>243655000</v>
      </c>
      <c r="E215" s="7">
        <v>78705000</v>
      </c>
      <c r="F215" s="48">
        <v>47.7</v>
      </c>
    </row>
    <row r="216" spans="1:6" x14ac:dyDescent="0.35">
      <c r="A216" s="31" t="s">
        <v>149</v>
      </c>
      <c r="B216" s="5" t="s">
        <v>187</v>
      </c>
      <c r="C216" s="6">
        <v>27492000</v>
      </c>
      <c r="D216" s="6">
        <v>38532000</v>
      </c>
      <c r="E216" s="7">
        <v>11040000</v>
      </c>
      <c r="F216" s="47">
        <v>40.200000000000003</v>
      </c>
    </row>
    <row r="217" spans="1:6" x14ac:dyDescent="0.35">
      <c r="A217" s="32" t="s">
        <v>149</v>
      </c>
      <c r="B217" s="11" t="s">
        <v>188</v>
      </c>
      <c r="C217" s="12">
        <v>13746000</v>
      </c>
      <c r="D217" s="12">
        <v>17115000</v>
      </c>
      <c r="E217" s="7">
        <v>3369000</v>
      </c>
      <c r="F217" s="48">
        <v>24.5</v>
      </c>
    </row>
    <row r="218" spans="1:6" x14ac:dyDescent="0.35">
      <c r="A218" s="31" t="s">
        <v>152</v>
      </c>
      <c r="B218" s="5" t="s">
        <v>183</v>
      </c>
      <c r="C218" s="6">
        <v>98569000</v>
      </c>
      <c r="D218" s="6">
        <v>144943000</v>
      </c>
      <c r="E218" s="7">
        <v>46374000</v>
      </c>
      <c r="F218" s="47">
        <v>47</v>
      </c>
    </row>
    <row r="219" spans="1:6" x14ac:dyDescent="0.35">
      <c r="A219" s="32" t="s">
        <v>152</v>
      </c>
      <c r="B219" s="11" t="s">
        <v>184</v>
      </c>
      <c r="C219" s="12">
        <v>147853000</v>
      </c>
      <c r="D219" s="12">
        <v>221742000</v>
      </c>
      <c r="E219" s="7">
        <v>73889000</v>
      </c>
      <c r="F219" s="48">
        <v>50</v>
      </c>
    </row>
    <row r="220" spans="1:6" x14ac:dyDescent="0.35">
      <c r="A220" s="31" t="s">
        <v>152</v>
      </c>
      <c r="B220" s="5" t="s">
        <v>185</v>
      </c>
      <c r="C220" s="6">
        <v>61605000</v>
      </c>
      <c r="D220" s="6">
        <v>80294000</v>
      </c>
      <c r="E220" s="7">
        <v>18689000</v>
      </c>
      <c r="F220" s="47">
        <v>30.3</v>
      </c>
    </row>
    <row r="221" spans="1:6" x14ac:dyDescent="0.35">
      <c r="A221" s="32" t="s">
        <v>152</v>
      </c>
      <c r="B221" s="11" t="s">
        <v>186</v>
      </c>
      <c r="C221" s="12">
        <v>739264000</v>
      </c>
      <c r="D221" s="12">
        <v>784881000</v>
      </c>
      <c r="E221" s="7">
        <v>45617000</v>
      </c>
      <c r="F221" s="48">
        <v>6.2</v>
      </c>
    </row>
    <row r="222" spans="1:6" x14ac:dyDescent="0.35">
      <c r="A222" s="31" t="s">
        <v>152</v>
      </c>
      <c r="B222" s="5" t="s">
        <v>187</v>
      </c>
      <c r="C222" s="6">
        <v>123211000</v>
      </c>
      <c r="D222" s="6">
        <v>113864000</v>
      </c>
      <c r="E222" s="6">
        <v>-9347000</v>
      </c>
      <c r="F222" s="47">
        <v>-7.6</v>
      </c>
    </row>
    <row r="223" spans="1:6" x14ac:dyDescent="0.35">
      <c r="A223" s="32" t="s">
        <v>152</v>
      </c>
      <c r="B223" s="11" t="s">
        <v>188</v>
      </c>
      <c r="C223" s="12">
        <v>61605000</v>
      </c>
      <c r="D223" s="12">
        <v>83398000</v>
      </c>
      <c r="E223" s="7">
        <v>21793000</v>
      </c>
      <c r="F223" s="48">
        <v>35.4</v>
      </c>
    </row>
    <row r="224" spans="1:6" x14ac:dyDescent="0.35">
      <c r="A224" s="31" t="s">
        <v>154</v>
      </c>
      <c r="B224" s="5" t="s">
        <v>183</v>
      </c>
      <c r="C224" s="6">
        <v>60819000</v>
      </c>
      <c r="D224" s="6">
        <v>71906000</v>
      </c>
      <c r="E224" s="7">
        <v>11087000</v>
      </c>
      <c r="F224" s="47">
        <v>18.2</v>
      </c>
    </row>
    <row r="225" spans="1:6" x14ac:dyDescent="0.35">
      <c r="A225" s="32" t="s">
        <v>154</v>
      </c>
      <c r="B225" s="11" t="s">
        <v>184</v>
      </c>
      <c r="C225" s="12">
        <v>91228000</v>
      </c>
      <c r="D225" s="12">
        <v>117767000</v>
      </c>
      <c r="E225" s="7">
        <v>26539000</v>
      </c>
      <c r="F225" s="48">
        <v>29.1</v>
      </c>
    </row>
    <row r="226" spans="1:6" x14ac:dyDescent="0.35">
      <c r="A226" s="31" t="s">
        <v>154</v>
      </c>
      <c r="B226" s="5" t="s">
        <v>185</v>
      </c>
      <c r="C226" s="6">
        <v>38012000</v>
      </c>
      <c r="D226" s="6">
        <v>55104000</v>
      </c>
      <c r="E226" s="7">
        <v>17092000</v>
      </c>
      <c r="F226" s="47">
        <v>45</v>
      </c>
    </row>
    <row r="227" spans="1:6" x14ac:dyDescent="0.35">
      <c r="A227" s="32" t="s">
        <v>154</v>
      </c>
      <c r="B227" s="11" t="s">
        <v>186</v>
      </c>
      <c r="C227" s="12">
        <v>456139000</v>
      </c>
      <c r="D227" s="12">
        <v>460196000</v>
      </c>
      <c r="E227" s="7">
        <v>4057000</v>
      </c>
      <c r="F227" s="48">
        <v>0.9</v>
      </c>
    </row>
    <row r="228" spans="1:6" x14ac:dyDescent="0.35">
      <c r="A228" s="31" t="s">
        <v>154</v>
      </c>
      <c r="B228" s="5" t="s">
        <v>187</v>
      </c>
      <c r="C228" s="6">
        <v>76023000</v>
      </c>
      <c r="D228" s="6">
        <v>95120000</v>
      </c>
      <c r="E228" s="7">
        <v>19097000</v>
      </c>
      <c r="F228" s="47">
        <v>25.1</v>
      </c>
    </row>
    <row r="229" spans="1:6" x14ac:dyDescent="0.35">
      <c r="A229" s="32" t="s">
        <v>154</v>
      </c>
      <c r="B229" s="11" t="s">
        <v>188</v>
      </c>
      <c r="C229" s="12">
        <v>38012000</v>
      </c>
      <c r="D229" s="12">
        <v>48688000</v>
      </c>
      <c r="E229" s="7">
        <v>10676000</v>
      </c>
      <c r="F229" s="48">
        <v>28.1</v>
      </c>
    </row>
    <row r="230" spans="1:6" x14ac:dyDescent="0.35">
      <c r="A230" s="31" t="s">
        <v>156</v>
      </c>
      <c r="B230" s="5" t="s">
        <v>183</v>
      </c>
      <c r="C230" s="6">
        <v>90488000</v>
      </c>
      <c r="D230" s="6">
        <v>108136000</v>
      </c>
      <c r="E230" s="7">
        <v>17648000</v>
      </c>
      <c r="F230" s="47">
        <v>19.5</v>
      </c>
    </row>
    <row r="231" spans="1:6" x14ac:dyDescent="0.35">
      <c r="A231" s="32" t="s">
        <v>156</v>
      </c>
      <c r="B231" s="11" t="s">
        <v>184</v>
      </c>
      <c r="C231" s="12">
        <v>135732000</v>
      </c>
      <c r="D231" s="12">
        <v>129590000</v>
      </c>
      <c r="E231" s="12">
        <v>-6142000</v>
      </c>
      <c r="F231" s="48">
        <v>-4.5</v>
      </c>
    </row>
    <row r="232" spans="1:6" x14ac:dyDescent="0.35">
      <c r="A232" s="31" t="s">
        <v>156</v>
      </c>
      <c r="B232" s="5" t="s">
        <v>185</v>
      </c>
      <c r="C232" s="6">
        <v>56555000</v>
      </c>
      <c r="D232" s="6">
        <v>62707000</v>
      </c>
      <c r="E232" s="7">
        <v>6152000</v>
      </c>
      <c r="F232" s="47">
        <v>10.9</v>
      </c>
    </row>
    <row r="233" spans="1:6" x14ac:dyDescent="0.35">
      <c r="A233" s="32" t="s">
        <v>156</v>
      </c>
      <c r="B233" s="11" t="s">
        <v>186</v>
      </c>
      <c r="C233" s="12">
        <v>678662000</v>
      </c>
      <c r="D233" s="12">
        <v>746518000</v>
      </c>
      <c r="E233" s="7">
        <v>67856000</v>
      </c>
      <c r="F233" s="48">
        <v>10</v>
      </c>
    </row>
    <row r="234" spans="1:6" x14ac:dyDescent="0.35">
      <c r="A234" s="31" t="s">
        <v>156</v>
      </c>
      <c r="B234" s="5" t="s">
        <v>187</v>
      </c>
      <c r="C234" s="6">
        <v>113110000</v>
      </c>
      <c r="D234" s="6">
        <v>147278000</v>
      </c>
      <c r="E234" s="7">
        <v>34168000</v>
      </c>
      <c r="F234" s="47">
        <v>30.2</v>
      </c>
    </row>
    <row r="235" spans="1:6" x14ac:dyDescent="0.35">
      <c r="A235" s="32" t="s">
        <v>156</v>
      </c>
      <c r="B235" s="11" t="s">
        <v>188</v>
      </c>
      <c r="C235" s="12">
        <v>56555000</v>
      </c>
      <c r="D235" s="12">
        <v>80005000</v>
      </c>
      <c r="E235" s="7">
        <v>23450000</v>
      </c>
      <c r="F235" s="48">
        <v>41.5</v>
      </c>
    </row>
    <row r="236" spans="1:6" x14ac:dyDescent="0.35">
      <c r="A236" s="31" t="s">
        <v>157</v>
      </c>
      <c r="B236" s="5" t="s">
        <v>183</v>
      </c>
      <c r="C236" s="6">
        <v>48759000</v>
      </c>
      <c r="D236" s="6">
        <v>53532000</v>
      </c>
      <c r="E236" s="7">
        <v>4773000</v>
      </c>
      <c r="F236" s="47">
        <v>9.8000000000000007</v>
      </c>
    </row>
    <row r="237" spans="1:6" x14ac:dyDescent="0.35">
      <c r="A237" s="32" t="s">
        <v>157</v>
      </c>
      <c r="B237" s="11" t="s">
        <v>184</v>
      </c>
      <c r="C237" s="12">
        <v>73138000</v>
      </c>
      <c r="D237" s="12">
        <v>96265000</v>
      </c>
      <c r="E237" s="7">
        <v>23127000</v>
      </c>
      <c r="F237" s="48">
        <v>31.6</v>
      </c>
    </row>
    <row r="238" spans="1:6" x14ac:dyDescent="0.35">
      <c r="A238" s="31" t="s">
        <v>157</v>
      </c>
      <c r="B238" s="5" t="s">
        <v>185</v>
      </c>
      <c r="C238" s="6">
        <v>30474000</v>
      </c>
      <c r="D238" s="6">
        <v>32696000</v>
      </c>
      <c r="E238" s="7">
        <v>2222000</v>
      </c>
      <c r="F238" s="47">
        <v>7.3</v>
      </c>
    </row>
    <row r="239" spans="1:6" x14ac:dyDescent="0.35">
      <c r="A239" s="32" t="s">
        <v>157</v>
      </c>
      <c r="B239" s="11" t="s">
        <v>186</v>
      </c>
      <c r="C239" s="12">
        <v>365689000</v>
      </c>
      <c r="D239" s="12">
        <v>536508000</v>
      </c>
      <c r="E239" s="7">
        <v>170819000</v>
      </c>
      <c r="F239" s="48">
        <v>46.7</v>
      </c>
    </row>
    <row r="240" spans="1:6" x14ac:dyDescent="0.35">
      <c r="A240" s="31" t="s">
        <v>157</v>
      </c>
      <c r="B240" s="5" t="s">
        <v>187</v>
      </c>
      <c r="C240" s="6">
        <v>60948000</v>
      </c>
      <c r="D240" s="6">
        <v>84604000</v>
      </c>
      <c r="E240" s="7">
        <v>23656000</v>
      </c>
      <c r="F240" s="47">
        <v>38.799999999999997</v>
      </c>
    </row>
    <row r="241" spans="1:6" x14ac:dyDescent="0.35">
      <c r="A241" s="32" t="s">
        <v>157</v>
      </c>
      <c r="B241" s="11" t="s">
        <v>188</v>
      </c>
      <c r="C241" s="12">
        <v>30474000</v>
      </c>
      <c r="D241" s="12">
        <v>37485000</v>
      </c>
      <c r="E241" s="7">
        <v>7011000</v>
      </c>
      <c r="F241" s="48">
        <v>23</v>
      </c>
    </row>
    <row r="242" spans="1:6" x14ac:dyDescent="0.35">
      <c r="A242" s="31" t="s">
        <v>158</v>
      </c>
      <c r="B242" s="5" t="s">
        <v>183</v>
      </c>
      <c r="C242" s="6">
        <v>107561000</v>
      </c>
      <c r="D242" s="6">
        <v>126158000</v>
      </c>
      <c r="E242" s="7">
        <v>18597000</v>
      </c>
      <c r="F242" s="47">
        <v>17.3</v>
      </c>
    </row>
    <row r="243" spans="1:6" x14ac:dyDescent="0.35">
      <c r="A243" s="32" t="s">
        <v>158</v>
      </c>
      <c r="B243" s="11" t="s">
        <v>184</v>
      </c>
      <c r="C243" s="12">
        <v>161342000</v>
      </c>
      <c r="D243" s="12">
        <v>175655000</v>
      </c>
      <c r="E243" s="7">
        <v>14313000</v>
      </c>
      <c r="F243" s="48">
        <v>8.9</v>
      </c>
    </row>
    <row r="244" spans="1:6" x14ac:dyDescent="0.35">
      <c r="A244" s="31" t="s">
        <v>158</v>
      </c>
      <c r="B244" s="5" t="s">
        <v>185</v>
      </c>
      <c r="C244" s="6">
        <v>67226000</v>
      </c>
      <c r="D244" s="6">
        <v>73543000</v>
      </c>
      <c r="E244" s="7">
        <v>6317000</v>
      </c>
      <c r="F244" s="47">
        <v>9.4</v>
      </c>
    </row>
    <row r="245" spans="1:6" x14ac:dyDescent="0.35">
      <c r="A245" s="32" t="s">
        <v>158</v>
      </c>
      <c r="B245" s="11" t="s">
        <v>186</v>
      </c>
      <c r="C245" s="12">
        <v>806709000</v>
      </c>
      <c r="D245" s="12">
        <v>1195632000</v>
      </c>
      <c r="E245" s="7">
        <v>388923000</v>
      </c>
      <c r="F245" s="48">
        <v>48.2</v>
      </c>
    </row>
    <row r="246" spans="1:6" x14ac:dyDescent="0.35">
      <c r="A246" s="31" t="s">
        <v>158</v>
      </c>
      <c r="B246" s="5" t="s">
        <v>187</v>
      </c>
      <c r="C246" s="6">
        <v>134452000</v>
      </c>
      <c r="D246" s="6">
        <v>153612000</v>
      </c>
      <c r="E246" s="7">
        <v>19160000</v>
      </c>
      <c r="F246" s="47">
        <v>14.3</v>
      </c>
    </row>
    <row r="247" spans="1:6" x14ac:dyDescent="0.35">
      <c r="A247" s="32" t="s">
        <v>158</v>
      </c>
      <c r="B247" s="11" t="s">
        <v>188</v>
      </c>
      <c r="C247" s="12">
        <v>67226000</v>
      </c>
      <c r="D247" s="12">
        <v>81260000</v>
      </c>
      <c r="E247" s="7">
        <v>14034000</v>
      </c>
      <c r="F247" s="48">
        <v>20.9</v>
      </c>
    </row>
    <row r="248" spans="1:6" x14ac:dyDescent="0.35">
      <c r="A248" s="31" t="s">
        <v>159</v>
      </c>
      <c r="B248" s="5" t="s">
        <v>183</v>
      </c>
      <c r="C248" s="6">
        <v>157494000</v>
      </c>
      <c r="D248" s="6">
        <v>235118000</v>
      </c>
      <c r="E248" s="7">
        <v>77624000</v>
      </c>
      <c r="F248" s="47">
        <v>49.3</v>
      </c>
    </row>
    <row r="249" spans="1:6" x14ac:dyDescent="0.35">
      <c r="A249" s="32" t="s">
        <v>159</v>
      </c>
      <c r="B249" s="11" t="s">
        <v>184</v>
      </c>
      <c r="C249" s="12">
        <v>236241000</v>
      </c>
      <c r="D249" s="12">
        <v>305837000</v>
      </c>
      <c r="E249" s="7">
        <v>69596000</v>
      </c>
      <c r="F249" s="48">
        <v>29.5</v>
      </c>
    </row>
    <row r="250" spans="1:6" x14ac:dyDescent="0.35">
      <c r="A250" s="31" t="s">
        <v>159</v>
      </c>
      <c r="B250" s="5" t="s">
        <v>185</v>
      </c>
      <c r="C250" s="6">
        <v>98434000</v>
      </c>
      <c r="D250" s="6">
        <v>120636000</v>
      </c>
      <c r="E250" s="7">
        <v>22202000</v>
      </c>
      <c r="F250" s="47">
        <v>22.6</v>
      </c>
    </row>
    <row r="251" spans="1:6" x14ac:dyDescent="0.35">
      <c r="A251" s="32" t="s">
        <v>159</v>
      </c>
      <c r="B251" s="11" t="s">
        <v>186</v>
      </c>
      <c r="C251" s="12">
        <v>1181205000</v>
      </c>
      <c r="D251" s="12">
        <v>1355963000</v>
      </c>
      <c r="E251" s="7">
        <v>174758000</v>
      </c>
      <c r="F251" s="48">
        <v>14.8</v>
      </c>
    </row>
    <row r="252" spans="1:6" x14ac:dyDescent="0.35">
      <c r="A252" s="31" t="s">
        <v>159</v>
      </c>
      <c r="B252" s="5" t="s">
        <v>187</v>
      </c>
      <c r="C252" s="6">
        <v>196868000</v>
      </c>
      <c r="D252" s="6">
        <v>199339000</v>
      </c>
      <c r="E252" s="7">
        <v>2471000</v>
      </c>
      <c r="F252" s="47">
        <v>1.3</v>
      </c>
    </row>
    <row r="253" spans="1:6" x14ac:dyDescent="0.35">
      <c r="A253" s="32" t="s">
        <v>159</v>
      </c>
      <c r="B253" s="11" t="s">
        <v>188</v>
      </c>
      <c r="C253" s="12">
        <v>98434000</v>
      </c>
      <c r="D253" s="12">
        <v>109957000</v>
      </c>
      <c r="E253" s="7">
        <v>11523000</v>
      </c>
      <c r="F253" s="48">
        <v>11.7</v>
      </c>
    </row>
    <row r="254" spans="1:6" x14ac:dyDescent="0.35">
      <c r="A254" s="31" t="s">
        <v>161</v>
      </c>
      <c r="B254" s="5" t="s">
        <v>183</v>
      </c>
      <c r="C254" s="6">
        <v>125434000</v>
      </c>
      <c r="D254" s="6">
        <v>169821000</v>
      </c>
      <c r="E254" s="7">
        <v>44387000</v>
      </c>
      <c r="F254" s="47">
        <v>35.4</v>
      </c>
    </row>
    <row r="255" spans="1:6" x14ac:dyDescent="0.35">
      <c r="A255" s="32" t="s">
        <v>161</v>
      </c>
      <c r="B255" s="11" t="s">
        <v>184</v>
      </c>
      <c r="C255" s="12">
        <v>188150000</v>
      </c>
      <c r="D255" s="12">
        <v>239937000</v>
      </c>
      <c r="E255" s="7">
        <v>51787000</v>
      </c>
      <c r="F255" s="48">
        <v>27.5</v>
      </c>
    </row>
    <row r="256" spans="1:6" x14ac:dyDescent="0.35">
      <c r="A256" s="31" t="s">
        <v>161</v>
      </c>
      <c r="B256" s="5" t="s">
        <v>185</v>
      </c>
      <c r="C256" s="6">
        <v>78396000</v>
      </c>
      <c r="D256" s="6">
        <v>106305000</v>
      </c>
      <c r="E256" s="7">
        <v>27909000</v>
      </c>
      <c r="F256" s="47">
        <v>35.6</v>
      </c>
    </row>
    <row r="257" spans="1:6" x14ac:dyDescent="0.35">
      <c r="A257" s="32" t="s">
        <v>161</v>
      </c>
      <c r="B257" s="11" t="s">
        <v>186</v>
      </c>
      <c r="C257" s="12">
        <v>940752000</v>
      </c>
      <c r="D257" s="12">
        <v>961575000</v>
      </c>
      <c r="E257" s="7">
        <v>20823000</v>
      </c>
      <c r="F257" s="48">
        <v>2.2000000000000002</v>
      </c>
    </row>
    <row r="258" spans="1:6" x14ac:dyDescent="0.35">
      <c r="A258" s="31" t="s">
        <v>161</v>
      </c>
      <c r="B258" s="5" t="s">
        <v>187</v>
      </c>
      <c r="C258" s="6">
        <v>156792000</v>
      </c>
      <c r="D258" s="6">
        <v>192781000</v>
      </c>
      <c r="E258" s="7">
        <v>35989000</v>
      </c>
      <c r="F258" s="47">
        <v>23</v>
      </c>
    </row>
    <row r="259" spans="1:6" x14ac:dyDescent="0.35">
      <c r="A259" s="32" t="s">
        <v>161</v>
      </c>
      <c r="B259" s="11" t="s">
        <v>188</v>
      </c>
      <c r="C259" s="12">
        <v>78396000</v>
      </c>
      <c r="D259" s="12">
        <v>114192000</v>
      </c>
      <c r="E259" s="7">
        <v>35796000</v>
      </c>
      <c r="F259" s="48">
        <v>45.7</v>
      </c>
    </row>
    <row r="260" spans="1:6" x14ac:dyDescent="0.35">
      <c r="A260" s="31" t="s">
        <v>163</v>
      </c>
      <c r="B260" s="5" t="s">
        <v>183</v>
      </c>
      <c r="C260" s="6">
        <v>53498000</v>
      </c>
      <c r="D260" s="6">
        <v>62211000</v>
      </c>
      <c r="E260" s="7">
        <v>8713000</v>
      </c>
      <c r="F260" s="47">
        <v>16.3</v>
      </c>
    </row>
    <row r="261" spans="1:6" x14ac:dyDescent="0.35">
      <c r="A261" s="32" t="s">
        <v>163</v>
      </c>
      <c r="B261" s="11" t="s">
        <v>184</v>
      </c>
      <c r="C261" s="12">
        <v>80248000</v>
      </c>
      <c r="D261" s="12">
        <v>105843000</v>
      </c>
      <c r="E261" s="7">
        <v>25595000</v>
      </c>
      <c r="F261" s="48">
        <v>31.9</v>
      </c>
    </row>
    <row r="262" spans="1:6" x14ac:dyDescent="0.35">
      <c r="A262" s="31" t="s">
        <v>163</v>
      </c>
      <c r="B262" s="5" t="s">
        <v>185</v>
      </c>
      <c r="C262" s="6">
        <v>33437000</v>
      </c>
      <c r="D262" s="6">
        <v>32529000</v>
      </c>
      <c r="E262" s="6">
        <v>-908000</v>
      </c>
      <c r="F262" s="47">
        <v>-2.7</v>
      </c>
    </row>
    <row r="263" spans="1:6" x14ac:dyDescent="0.35">
      <c r="A263" s="32" t="s">
        <v>163</v>
      </c>
      <c r="B263" s="11" t="s">
        <v>186</v>
      </c>
      <c r="C263" s="12">
        <v>401239000</v>
      </c>
      <c r="D263" s="12">
        <v>595394000</v>
      </c>
      <c r="E263" s="7">
        <v>194155000</v>
      </c>
      <c r="F263" s="48">
        <v>48.4</v>
      </c>
    </row>
    <row r="264" spans="1:6" x14ac:dyDescent="0.35">
      <c r="A264" s="31" t="s">
        <v>163</v>
      </c>
      <c r="B264" s="5" t="s">
        <v>187</v>
      </c>
      <c r="C264" s="6">
        <v>66873000</v>
      </c>
      <c r="D264" s="6">
        <v>84616000</v>
      </c>
      <c r="E264" s="7">
        <v>17743000</v>
      </c>
      <c r="F264" s="47">
        <v>26.5</v>
      </c>
    </row>
    <row r="265" spans="1:6" x14ac:dyDescent="0.35">
      <c r="A265" s="32" t="s">
        <v>163</v>
      </c>
      <c r="B265" s="11" t="s">
        <v>188</v>
      </c>
      <c r="C265" s="12">
        <v>33437000</v>
      </c>
      <c r="D265" s="12">
        <v>34894000</v>
      </c>
      <c r="E265" s="7">
        <v>1457000</v>
      </c>
      <c r="F265" s="48">
        <v>4.4000000000000004</v>
      </c>
    </row>
    <row r="266" spans="1:6" x14ac:dyDescent="0.35">
      <c r="A266" s="31" t="s">
        <v>166</v>
      </c>
      <c r="B266" s="5" t="s">
        <v>183</v>
      </c>
      <c r="C266" s="6">
        <v>121277000</v>
      </c>
      <c r="D266" s="6">
        <v>120674000</v>
      </c>
      <c r="E266" s="6">
        <v>-603000</v>
      </c>
      <c r="F266" s="47">
        <v>-0.5</v>
      </c>
    </row>
    <row r="267" spans="1:6" x14ac:dyDescent="0.35">
      <c r="A267" s="32" t="s">
        <v>166</v>
      </c>
      <c r="B267" s="11" t="s">
        <v>184</v>
      </c>
      <c r="C267" s="12">
        <v>181916000</v>
      </c>
      <c r="D267" s="12">
        <v>223848000</v>
      </c>
      <c r="E267" s="7">
        <v>41932000</v>
      </c>
      <c r="F267" s="48">
        <v>23.1</v>
      </c>
    </row>
    <row r="268" spans="1:6" x14ac:dyDescent="0.35">
      <c r="A268" s="31" t="s">
        <v>166</v>
      </c>
      <c r="B268" s="5" t="s">
        <v>185</v>
      </c>
      <c r="C268" s="6">
        <v>75798000</v>
      </c>
      <c r="D268" s="6">
        <v>93334000</v>
      </c>
      <c r="E268" s="7">
        <v>17536000</v>
      </c>
      <c r="F268" s="47">
        <v>23.1</v>
      </c>
    </row>
    <row r="269" spans="1:6" x14ac:dyDescent="0.35">
      <c r="A269" s="32" t="s">
        <v>166</v>
      </c>
      <c r="B269" s="11" t="s">
        <v>186</v>
      </c>
      <c r="C269" s="12">
        <v>909579000</v>
      </c>
      <c r="D269" s="12">
        <v>869490000</v>
      </c>
      <c r="E269" s="12">
        <v>-40089000</v>
      </c>
      <c r="F269" s="48">
        <v>-4.4000000000000004</v>
      </c>
    </row>
    <row r="270" spans="1:6" x14ac:dyDescent="0.35">
      <c r="A270" s="31" t="s">
        <v>166</v>
      </c>
      <c r="B270" s="5" t="s">
        <v>187</v>
      </c>
      <c r="C270" s="6">
        <v>151596000</v>
      </c>
      <c r="D270" s="6">
        <v>226690000</v>
      </c>
      <c r="E270" s="7">
        <v>75094000</v>
      </c>
      <c r="F270" s="47">
        <v>49.5</v>
      </c>
    </row>
    <row r="271" spans="1:6" x14ac:dyDescent="0.35">
      <c r="A271" s="32" t="s">
        <v>166</v>
      </c>
      <c r="B271" s="11" t="s">
        <v>188</v>
      </c>
      <c r="C271" s="12">
        <v>75798000</v>
      </c>
      <c r="D271" s="12">
        <v>109737000</v>
      </c>
      <c r="E271" s="7">
        <v>33939000</v>
      </c>
      <c r="F271" s="48">
        <v>44.8</v>
      </c>
    </row>
    <row r="272" spans="1:6" x14ac:dyDescent="0.35">
      <c r="A272" s="31" t="s">
        <v>168</v>
      </c>
      <c r="B272" s="5" t="s">
        <v>183</v>
      </c>
      <c r="C272" s="6">
        <v>40581000</v>
      </c>
      <c r="D272" s="6">
        <v>47759000</v>
      </c>
      <c r="E272" s="7">
        <v>7178000</v>
      </c>
      <c r="F272" s="47">
        <v>17.7</v>
      </c>
    </row>
    <row r="273" spans="1:6" x14ac:dyDescent="0.35">
      <c r="A273" s="32" t="s">
        <v>168</v>
      </c>
      <c r="B273" s="11" t="s">
        <v>184</v>
      </c>
      <c r="C273" s="12">
        <v>60871000</v>
      </c>
      <c r="D273" s="12">
        <v>59074000</v>
      </c>
      <c r="E273" s="12">
        <v>-1797000</v>
      </c>
      <c r="F273" s="48">
        <v>-3</v>
      </c>
    </row>
    <row r="274" spans="1:6" x14ac:dyDescent="0.35">
      <c r="A274" s="31" t="s">
        <v>168</v>
      </c>
      <c r="B274" s="5" t="s">
        <v>185</v>
      </c>
      <c r="C274" s="6">
        <v>25363000</v>
      </c>
      <c r="D274" s="6">
        <v>35490000</v>
      </c>
      <c r="E274" s="7">
        <v>10127000</v>
      </c>
      <c r="F274" s="47">
        <v>39.9</v>
      </c>
    </row>
    <row r="275" spans="1:6" x14ac:dyDescent="0.35">
      <c r="A275" s="32" t="s">
        <v>168</v>
      </c>
      <c r="B275" s="11" t="s">
        <v>186</v>
      </c>
      <c r="C275" s="12">
        <v>304357000</v>
      </c>
      <c r="D275" s="12">
        <v>364932000</v>
      </c>
      <c r="E275" s="7">
        <v>60575000</v>
      </c>
      <c r="F275" s="48">
        <v>19.899999999999999</v>
      </c>
    </row>
    <row r="276" spans="1:6" x14ac:dyDescent="0.35">
      <c r="A276" s="31" t="s">
        <v>168</v>
      </c>
      <c r="B276" s="5" t="s">
        <v>187</v>
      </c>
      <c r="C276" s="6">
        <v>50726000</v>
      </c>
      <c r="D276" s="6">
        <v>67464000</v>
      </c>
      <c r="E276" s="7">
        <v>16738000</v>
      </c>
      <c r="F276" s="47">
        <v>33</v>
      </c>
    </row>
    <row r="277" spans="1:6" x14ac:dyDescent="0.35">
      <c r="A277" s="32" t="s">
        <v>168</v>
      </c>
      <c r="B277" s="11" t="s">
        <v>188</v>
      </c>
      <c r="C277" s="12">
        <v>25363000</v>
      </c>
      <c r="D277" s="12">
        <v>30571000</v>
      </c>
      <c r="E277" s="7">
        <v>5208000</v>
      </c>
      <c r="F277" s="48">
        <v>20.5</v>
      </c>
    </row>
    <row r="278" spans="1:6" x14ac:dyDescent="0.35">
      <c r="A278" s="31" t="s">
        <v>170</v>
      </c>
      <c r="B278" s="5" t="s">
        <v>183</v>
      </c>
      <c r="C278" s="6">
        <v>55618000</v>
      </c>
      <c r="D278" s="6">
        <v>59181000</v>
      </c>
      <c r="E278" s="7">
        <v>3563000</v>
      </c>
      <c r="F278" s="47">
        <v>6.4</v>
      </c>
    </row>
    <row r="279" spans="1:6" x14ac:dyDescent="0.35">
      <c r="A279" s="32" t="s">
        <v>170</v>
      </c>
      <c r="B279" s="11" t="s">
        <v>184</v>
      </c>
      <c r="C279" s="12">
        <v>83426000</v>
      </c>
      <c r="D279" s="12">
        <v>116866000</v>
      </c>
      <c r="E279" s="7">
        <v>33440000</v>
      </c>
      <c r="F279" s="48">
        <v>40.1</v>
      </c>
    </row>
    <row r="280" spans="1:6" x14ac:dyDescent="0.35">
      <c r="A280" s="31" t="s">
        <v>170</v>
      </c>
      <c r="B280" s="5" t="s">
        <v>185</v>
      </c>
      <c r="C280" s="6">
        <v>34761000</v>
      </c>
      <c r="D280" s="6">
        <v>51729000</v>
      </c>
      <c r="E280" s="7">
        <v>16968000</v>
      </c>
      <c r="F280" s="47">
        <v>48.8</v>
      </c>
    </row>
    <row r="281" spans="1:6" x14ac:dyDescent="0.35">
      <c r="A281" s="32" t="s">
        <v>170</v>
      </c>
      <c r="B281" s="11" t="s">
        <v>186</v>
      </c>
      <c r="C281" s="12">
        <v>417131000</v>
      </c>
      <c r="D281" s="12">
        <v>436419000</v>
      </c>
      <c r="E281" s="7">
        <v>19288000</v>
      </c>
      <c r="F281" s="48">
        <v>4.5999999999999996</v>
      </c>
    </row>
    <row r="282" spans="1:6" x14ac:dyDescent="0.35">
      <c r="A282" s="31" t="s">
        <v>170</v>
      </c>
      <c r="B282" s="5" t="s">
        <v>187</v>
      </c>
      <c r="C282" s="6">
        <v>69522000</v>
      </c>
      <c r="D282" s="6">
        <v>85565000</v>
      </c>
      <c r="E282" s="7">
        <v>16043000</v>
      </c>
      <c r="F282" s="47">
        <v>23.1</v>
      </c>
    </row>
    <row r="283" spans="1:6" x14ac:dyDescent="0.35">
      <c r="A283" s="32" t="s">
        <v>170</v>
      </c>
      <c r="B283" s="11" t="s">
        <v>188</v>
      </c>
      <c r="C283" s="12">
        <v>34761000</v>
      </c>
      <c r="D283" s="12">
        <v>39285000</v>
      </c>
      <c r="E283" s="7">
        <v>4524000</v>
      </c>
      <c r="F283" s="48">
        <v>13</v>
      </c>
    </row>
    <row r="284" spans="1:6" x14ac:dyDescent="0.35">
      <c r="A284" s="31" t="s">
        <v>172</v>
      </c>
      <c r="B284" s="5" t="s">
        <v>183</v>
      </c>
      <c r="C284" s="6">
        <v>151068000</v>
      </c>
      <c r="D284" s="6">
        <v>219520000</v>
      </c>
      <c r="E284" s="7">
        <v>68452000</v>
      </c>
      <c r="F284" s="47">
        <v>45.3</v>
      </c>
    </row>
    <row r="285" spans="1:6" x14ac:dyDescent="0.35">
      <c r="A285" s="32" t="s">
        <v>172</v>
      </c>
      <c r="B285" s="11" t="s">
        <v>184</v>
      </c>
      <c r="C285" s="12">
        <v>226602000</v>
      </c>
      <c r="D285" s="12">
        <v>273043000</v>
      </c>
      <c r="E285" s="7">
        <v>46441000</v>
      </c>
      <c r="F285" s="48">
        <v>20.5</v>
      </c>
    </row>
    <row r="286" spans="1:6" x14ac:dyDescent="0.35">
      <c r="A286" s="31" t="s">
        <v>172</v>
      </c>
      <c r="B286" s="5" t="s">
        <v>185</v>
      </c>
      <c r="C286" s="6">
        <v>94417000</v>
      </c>
      <c r="D286" s="6">
        <v>134789000</v>
      </c>
      <c r="E286" s="7">
        <v>40372000</v>
      </c>
      <c r="F286" s="47">
        <v>42.8</v>
      </c>
    </row>
    <row r="287" spans="1:6" x14ac:dyDescent="0.35">
      <c r="A287" s="32" t="s">
        <v>172</v>
      </c>
      <c r="B287" s="11" t="s">
        <v>186</v>
      </c>
      <c r="C287" s="12">
        <v>1133008000</v>
      </c>
      <c r="D287" s="12">
        <v>1607077000</v>
      </c>
      <c r="E287" s="7">
        <v>474069000</v>
      </c>
      <c r="F287" s="48">
        <v>41.8</v>
      </c>
    </row>
    <row r="288" spans="1:6" x14ac:dyDescent="0.35">
      <c r="A288" s="31" t="s">
        <v>172</v>
      </c>
      <c r="B288" s="5" t="s">
        <v>187</v>
      </c>
      <c r="C288" s="6">
        <v>188835000</v>
      </c>
      <c r="D288" s="6">
        <v>201251000</v>
      </c>
      <c r="E288" s="7">
        <v>12416000</v>
      </c>
      <c r="F288" s="47">
        <v>6.6</v>
      </c>
    </row>
    <row r="289" spans="1:6" x14ac:dyDescent="0.35">
      <c r="A289" s="32" t="s">
        <v>172</v>
      </c>
      <c r="B289" s="11" t="s">
        <v>188</v>
      </c>
      <c r="C289" s="12">
        <v>94417000</v>
      </c>
      <c r="D289" s="12">
        <v>129729000</v>
      </c>
      <c r="E289" s="7">
        <v>35312000</v>
      </c>
      <c r="F289" s="48">
        <v>37.4</v>
      </c>
    </row>
    <row r="290" spans="1:6" x14ac:dyDescent="0.35">
      <c r="A290" s="31" t="s">
        <v>174</v>
      </c>
      <c r="B290" s="5" t="s">
        <v>183</v>
      </c>
      <c r="C290" s="6">
        <v>46578000</v>
      </c>
      <c r="D290" s="6">
        <v>53517000</v>
      </c>
      <c r="E290" s="7">
        <v>6939000</v>
      </c>
      <c r="F290" s="47">
        <v>14.9</v>
      </c>
    </row>
    <row r="291" spans="1:6" x14ac:dyDescent="0.35">
      <c r="A291" s="32" t="s">
        <v>174</v>
      </c>
      <c r="B291" s="11" t="s">
        <v>184</v>
      </c>
      <c r="C291" s="12">
        <v>69867000</v>
      </c>
      <c r="D291" s="12">
        <v>102044000</v>
      </c>
      <c r="E291" s="7">
        <v>32177000</v>
      </c>
      <c r="F291" s="48">
        <v>46.1</v>
      </c>
    </row>
    <row r="292" spans="1:6" x14ac:dyDescent="0.35">
      <c r="A292" s="31" t="s">
        <v>174</v>
      </c>
      <c r="B292" s="5" t="s">
        <v>185</v>
      </c>
      <c r="C292" s="6">
        <v>29111000</v>
      </c>
      <c r="D292" s="6">
        <v>35068000</v>
      </c>
      <c r="E292" s="7">
        <v>5957000</v>
      </c>
      <c r="F292" s="47">
        <v>20.5</v>
      </c>
    </row>
    <row r="293" spans="1:6" x14ac:dyDescent="0.35">
      <c r="A293" s="32" t="s">
        <v>174</v>
      </c>
      <c r="B293" s="11" t="s">
        <v>186</v>
      </c>
      <c r="C293" s="12">
        <v>349334000</v>
      </c>
      <c r="D293" s="12">
        <v>486388000</v>
      </c>
      <c r="E293" s="7">
        <v>137054000</v>
      </c>
      <c r="F293" s="48">
        <v>39.200000000000003</v>
      </c>
    </row>
    <row r="294" spans="1:6" x14ac:dyDescent="0.35">
      <c r="A294" s="31" t="s">
        <v>174</v>
      </c>
      <c r="B294" s="5" t="s">
        <v>187</v>
      </c>
      <c r="C294" s="6">
        <v>58222000</v>
      </c>
      <c r="D294" s="6">
        <v>62280000</v>
      </c>
      <c r="E294" s="7">
        <v>4058000</v>
      </c>
      <c r="F294" s="47">
        <v>7</v>
      </c>
    </row>
    <row r="295" spans="1:6" x14ac:dyDescent="0.35">
      <c r="A295" s="32" t="s">
        <v>174</v>
      </c>
      <c r="B295" s="11" t="s">
        <v>188</v>
      </c>
      <c r="C295" s="12">
        <v>29111000</v>
      </c>
      <c r="D295" s="12">
        <v>31415000</v>
      </c>
      <c r="E295" s="7">
        <v>2304000</v>
      </c>
      <c r="F295" s="48">
        <v>7.9</v>
      </c>
    </row>
    <row r="296" spans="1:6" x14ac:dyDescent="0.35">
      <c r="A296" s="31" t="s">
        <v>176</v>
      </c>
      <c r="B296" s="5" t="s">
        <v>183</v>
      </c>
      <c r="C296" s="6">
        <v>96335000</v>
      </c>
      <c r="D296" s="6">
        <v>120627000</v>
      </c>
      <c r="E296" s="7">
        <v>24292000</v>
      </c>
      <c r="F296" s="47">
        <v>25.2</v>
      </c>
    </row>
    <row r="297" spans="1:6" x14ac:dyDescent="0.35">
      <c r="A297" s="32" t="s">
        <v>176</v>
      </c>
      <c r="B297" s="11" t="s">
        <v>184</v>
      </c>
      <c r="C297" s="12">
        <v>144503000</v>
      </c>
      <c r="D297" s="12">
        <v>216659000</v>
      </c>
      <c r="E297" s="7">
        <v>72156000</v>
      </c>
      <c r="F297" s="48">
        <v>49.9</v>
      </c>
    </row>
    <row r="298" spans="1:6" x14ac:dyDescent="0.35">
      <c r="A298" s="31" t="s">
        <v>176</v>
      </c>
      <c r="B298" s="5" t="s">
        <v>185</v>
      </c>
      <c r="C298" s="6">
        <v>60210000</v>
      </c>
      <c r="D298" s="6">
        <v>71878000</v>
      </c>
      <c r="E298" s="7">
        <v>11668000</v>
      </c>
      <c r="F298" s="47">
        <v>19.399999999999999</v>
      </c>
    </row>
    <row r="299" spans="1:6" x14ac:dyDescent="0.35">
      <c r="A299" s="32" t="s">
        <v>176</v>
      </c>
      <c r="B299" s="11" t="s">
        <v>186</v>
      </c>
      <c r="C299" s="12">
        <v>722515000</v>
      </c>
      <c r="D299" s="12">
        <v>714681000</v>
      </c>
      <c r="E299" s="12">
        <v>-7834000</v>
      </c>
      <c r="F299" s="48">
        <v>-1.1000000000000001</v>
      </c>
    </row>
    <row r="300" spans="1:6" x14ac:dyDescent="0.35">
      <c r="A300" s="31" t="s">
        <v>176</v>
      </c>
      <c r="B300" s="5" t="s">
        <v>187</v>
      </c>
      <c r="C300" s="6">
        <v>120419000</v>
      </c>
      <c r="D300" s="6">
        <v>147290000</v>
      </c>
      <c r="E300" s="7">
        <v>26871000</v>
      </c>
      <c r="F300" s="47">
        <v>22.3</v>
      </c>
    </row>
    <row r="301" spans="1:6" x14ac:dyDescent="0.35">
      <c r="A301" s="39" t="s">
        <v>176</v>
      </c>
      <c r="B301" s="40" t="s">
        <v>188</v>
      </c>
      <c r="C301" s="42">
        <v>60210000</v>
      </c>
      <c r="D301" s="42">
        <v>66657000</v>
      </c>
      <c r="E301" s="43">
        <v>6447000</v>
      </c>
      <c r="F301" s="52">
        <v>10.7</v>
      </c>
    </row>
  </sheetData>
  <sheetProtection algorithmName="SHA-512" hashValue="cADYbaNOAzLMBzJOvtrCjZU2J9TeCTqcrALSGcirNdJ6IegE6VaDFFvxlLoIMET8a5HZM3muom4K6C59/zPJ2w==" saltValue="GjFjDWqjsXd0H9vgY9Fxbw==" spinCount="100000" sheet="1" objects="1" scenarios="1"/>
  <pageMargins left="0.75" right="0.75" top="1" bottom="1"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
  <sheetViews>
    <sheetView showGridLines="0" topLeftCell="B1" zoomScaleNormal="100" workbookViewId="0">
      <pane ySplit="1" topLeftCell="A2" activePane="bottomLeft" state="frozen"/>
      <selection pane="bottomLeft" activeCell="F17" sqref="F17"/>
    </sheetView>
  </sheetViews>
  <sheetFormatPr defaultColWidth="8.6328125" defaultRowHeight="14.5" x14ac:dyDescent="0.35"/>
  <cols>
    <col min="1" max="1" width="28" customWidth="1"/>
    <col min="2" max="2" width="19.26953125" customWidth="1"/>
    <col min="3" max="4" width="22" customWidth="1"/>
    <col min="5" max="5" width="24.90625" customWidth="1"/>
    <col min="6" max="6" width="24.1796875" customWidth="1"/>
    <col min="7" max="7" width="22.453125" customWidth="1"/>
    <col min="8" max="8" width="17.453125" customWidth="1"/>
    <col min="9" max="9" width="21.26953125" customWidth="1"/>
  </cols>
  <sheetData>
    <row r="1" spans="1:9" ht="34.5" customHeight="1" x14ac:dyDescent="0.35">
      <c r="A1" s="57" t="s">
        <v>21</v>
      </c>
      <c r="B1" s="58" t="s">
        <v>189</v>
      </c>
      <c r="C1" s="58" t="s">
        <v>190</v>
      </c>
      <c r="D1" s="58" t="s">
        <v>191</v>
      </c>
      <c r="E1" s="58" t="s">
        <v>192</v>
      </c>
      <c r="F1" s="58" t="s">
        <v>193</v>
      </c>
      <c r="G1" s="58" t="s">
        <v>194</v>
      </c>
      <c r="H1" s="58" t="s">
        <v>195</v>
      </c>
      <c r="I1" s="59" t="s">
        <v>196</v>
      </c>
    </row>
    <row r="2" spans="1:9" x14ac:dyDescent="0.35">
      <c r="A2" s="53" t="s">
        <v>37</v>
      </c>
      <c r="B2" s="4">
        <v>8</v>
      </c>
      <c r="C2" s="17">
        <v>8100351000</v>
      </c>
      <c r="D2" s="17">
        <v>11541559000</v>
      </c>
      <c r="E2" s="15">
        <v>42.5</v>
      </c>
      <c r="F2" s="18">
        <v>30.8</v>
      </c>
      <c r="G2" s="18">
        <v>39.1</v>
      </c>
      <c r="H2" s="15">
        <v>100</v>
      </c>
      <c r="I2" s="55">
        <f t="shared" ref="I2:I11" si="0">MAX(0,MIN(100,100-E2-H2))</f>
        <v>0</v>
      </c>
    </row>
    <row r="3" spans="1:9" x14ac:dyDescent="0.35">
      <c r="A3" s="54" t="s">
        <v>44</v>
      </c>
      <c r="B3" s="10">
        <v>2</v>
      </c>
      <c r="C3" s="19">
        <v>683969000</v>
      </c>
      <c r="D3" s="19">
        <v>831560000</v>
      </c>
      <c r="E3" s="16">
        <v>21.6</v>
      </c>
      <c r="F3" s="20">
        <v>41</v>
      </c>
      <c r="G3" s="20">
        <v>52</v>
      </c>
      <c r="H3" s="16">
        <v>100</v>
      </c>
      <c r="I3" s="56">
        <f t="shared" si="0"/>
        <v>0</v>
      </c>
    </row>
    <row r="4" spans="1:9" x14ac:dyDescent="0.35">
      <c r="A4" s="53" t="s">
        <v>51</v>
      </c>
      <c r="B4" s="4">
        <v>6</v>
      </c>
      <c r="C4" s="17">
        <v>5365012000</v>
      </c>
      <c r="D4" s="17">
        <v>6373825000</v>
      </c>
      <c r="E4" s="15">
        <v>18.8</v>
      </c>
      <c r="F4" s="18">
        <v>32.700000000000003</v>
      </c>
      <c r="G4" s="18">
        <v>42.7</v>
      </c>
      <c r="H4" s="15">
        <v>100</v>
      </c>
      <c r="I4" s="55">
        <f t="shared" si="0"/>
        <v>0</v>
      </c>
    </row>
    <row r="5" spans="1:9" x14ac:dyDescent="0.35">
      <c r="A5" s="54" t="s">
        <v>62</v>
      </c>
      <c r="B5" s="10">
        <v>6</v>
      </c>
      <c r="C5" s="19">
        <v>6141159000</v>
      </c>
      <c r="D5" s="19">
        <v>8161160000</v>
      </c>
      <c r="E5" s="16">
        <v>32.9</v>
      </c>
      <c r="F5" s="20">
        <v>24.3</v>
      </c>
      <c r="G5" s="20">
        <v>31.3</v>
      </c>
      <c r="H5" s="16">
        <v>100</v>
      </c>
      <c r="I5" s="56">
        <f t="shared" si="0"/>
        <v>0</v>
      </c>
    </row>
    <row r="6" spans="1:9" x14ac:dyDescent="0.35">
      <c r="A6" s="53" t="s">
        <v>66</v>
      </c>
      <c r="B6" s="4">
        <v>4</v>
      </c>
      <c r="C6" s="17">
        <v>4650451000</v>
      </c>
      <c r="D6" s="17">
        <v>5635945000</v>
      </c>
      <c r="E6" s="15">
        <v>21.2</v>
      </c>
      <c r="F6" s="18">
        <v>26</v>
      </c>
      <c r="G6" s="18">
        <v>38.799999999999997</v>
      </c>
      <c r="H6" s="15">
        <v>100</v>
      </c>
      <c r="I6" s="55">
        <f t="shared" si="0"/>
        <v>0</v>
      </c>
    </row>
    <row r="7" spans="1:9" x14ac:dyDescent="0.35">
      <c r="A7" s="54" t="s">
        <v>71</v>
      </c>
      <c r="B7" s="10">
        <v>5</v>
      </c>
      <c r="C7" s="19">
        <v>6298809000</v>
      </c>
      <c r="D7" s="19">
        <v>8065462000</v>
      </c>
      <c r="E7" s="16">
        <v>28</v>
      </c>
      <c r="F7" s="20">
        <v>36.6</v>
      </c>
      <c r="G7" s="20">
        <v>49.4</v>
      </c>
      <c r="H7" s="16">
        <v>100</v>
      </c>
      <c r="I7" s="56">
        <f t="shared" si="0"/>
        <v>0</v>
      </c>
    </row>
    <row r="8" spans="1:9" x14ac:dyDescent="0.35">
      <c r="A8" s="53" t="s">
        <v>89</v>
      </c>
      <c r="B8" s="4">
        <v>3</v>
      </c>
      <c r="C8" s="17">
        <v>1766405000</v>
      </c>
      <c r="D8" s="17">
        <v>2103045000</v>
      </c>
      <c r="E8" s="15">
        <v>19.100000000000001</v>
      </c>
      <c r="F8" s="18">
        <v>28.3</v>
      </c>
      <c r="G8" s="18">
        <v>43.3</v>
      </c>
      <c r="H8" s="15">
        <v>100</v>
      </c>
      <c r="I8" s="55">
        <f t="shared" si="0"/>
        <v>0</v>
      </c>
    </row>
    <row r="9" spans="1:9" x14ac:dyDescent="0.35">
      <c r="A9" s="54" t="s">
        <v>110</v>
      </c>
      <c r="B9" s="10">
        <v>10</v>
      </c>
      <c r="C9" s="19">
        <v>9565520000</v>
      </c>
      <c r="D9" s="19">
        <v>12572607000</v>
      </c>
      <c r="E9" s="16">
        <v>31.4</v>
      </c>
      <c r="F9" s="20">
        <v>28.3</v>
      </c>
      <c r="G9" s="20">
        <v>40.799999999999997</v>
      </c>
      <c r="H9" s="16">
        <v>100</v>
      </c>
      <c r="I9" s="56">
        <f t="shared" si="0"/>
        <v>0</v>
      </c>
    </row>
    <row r="10" spans="1:9" x14ac:dyDescent="0.35">
      <c r="A10" s="53" t="s">
        <v>122</v>
      </c>
      <c r="B10" s="4">
        <v>4</v>
      </c>
      <c r="C10" s="17">
        <v>5584073000</v>
      </c>
      <c r="D10" s="17">
        <v>7437404000</v>
      </c>
      <c r="E10" s="15">
        <v>33.200000000000003</v>
      </c>
      <c r="F10" s="18">
        <v>20</v>
      </c>
      <c r="G10" s="18">
        <v>25.5</v>
      </c>
      <c r="H10" s="15">
        <v>100</v>
      </c>
      <c r="I10" s="55">
        <f t="shared" si="0"/>
        <v>0</v>
      </c>
    </row>
    <row r="11" spans="1:9" x14ac:dyDescent="0.35">
      <c r="A11" s="60" t="s">
        <v>142</v>
      </c>
      <c r="B11" s="41">
        <v>2</v>
      </c>
      <c r="C11" s="61">
        <v>2328990000</v>
      </c>
      <c r="D11" s="61">
        <v>2844503000</v>
      </c>
      <c r="E11" s="62">
        <v>22.1</v>
      </c>
      <c r="F11" s="63">
        <v>29.5</v>
      </c>
      <c r="G11" s="63">
        <v>41.5</v>
      </c>
      <c r="H11" s="62">
        <v>100</v>
      </c>
      <c r="I11" s="64">
        <f t="shared" si="0"/>
        <v>0</v>
      </c>
    </row>
  </sheetData>
  <sheetProtection algorithmName="SHA-512" hashValue="JgKwTo/KJTVeVfReyC00+qFO5Gh9kMXn+AhuLB0pTlL5uFVsMNpkDkmbYq3ovtY/Mf7g7LiTGVWtPMJG62QK5w==" saltValue="gMr07GKXq/kaOIn0KhTrAA==" spinCount="100000" sheet="1" objects="1" scenarios="1"/>
  <pageMargins left="0.75" right="0.75" top="1" bottom="1" header="0.511811023622047" footer="0.511811023622047"/>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E36"/>
  <sheetViews>
    <sheetView showGridLines="0" zoomScaleNormal="100" workbookViewId="0">
      <selection activeCell="F19" sqref="F19"/>
    </sheetView>
  </sheetViews>
  <sheetFormatPr defaultColWidth="8.6328125" defaultRowHeight="14.5" x14ac:dyDescent="0.35"/>
  <cols>
    <col min="1" max="1" width="3" customWidth="1"/>
    <col min="2" max="2" width="12" customWidth="1"/>
    <col min="3" max="3" width="30" customWidth="1"/>
    <col min="4" max="4" width="14" customWidth="1"/>
    <col min="5" max="5" width="55" customWidth="1"/>
  </cols>
  <sheetData>
    <row r="2" spans="2:5" ht="24.75" customHeight="1" x14ac:dyDescent="0.35">
      <c r="B2" s="21" t="s">
        <v>197</v>
      </c>
      <c r="C2" s="21" t="s">
        <v>198</v>
      </c>
      <c r="D2" s="21" t="s">
        <v>199</v>
      </c>
      <c r="E2" s="21" t="s">
        <v>200</v>
      </c>
    </row>
    <row r="3" spans="2:5" ht="21.75" customHeight="1" x14ac:dyDescent="0.35">
      <c r="B3" s="93" t="s">
        <v>201</v>
      </c>
      <c r="C3" s="93"/>
      <c r="D3" s="93"/>
      <c r="E3" s="93"/>
    </row>
    <row r="4" spans="2:5" ht="18" customHeight="1" x14ac:dyDescent="0.35">
      <c r="B4" s="22"/>
      <c r="C4" s="23" t="s">
        <v>17</v>
      </c>
      <c r="D4" s="22" t="s">
        <v>202</v>
      </c>
      <c r="E4" s="24" t="s">
        <v>203</v>
      </c>
    </row>
    <row r="5" spans="2:5" ht="18" customHeight="1" x14ac:dyDescent="0.35">
      <c r="B5" s="22"/>
      <c r="C5" s="23" t="s">
        <v>18</v>
      </c>
      <c r="D5" s="22" t="s">
        <v>202</v>
      </c>
      <c r="E5" s="24" t="s">
        <v>204</v>
      </c>
    </row>
    <row r="6" spans="2:5" ht="18" customHeight="1" x14ac:dyDescent="0.35">
      <c r="B6" s="22"/>
      <c r="C6" s="23" t="s">
        <v>19</v>
      </c>
      <c r="D6" s="22" t="s">
        <v>202</v>
      </c>
      <c r="E6" s="24" t="s">
        <v>205</v>
      </c>
    </row>
    <row r="7" spans="2:5" ht="18" customHeight="1" x14ac:dyDescent="0.35">
      <c r="B7" s="22"/>
      <c r="C7" s="23" t="s">
        <v>20</v>
      </c>
      <c r="D7" s="22" t="s">
        <v>202</v>
      </c>
      <c r="E7" s="24" t="s">
        <v>206</v>
      </c>
    </row>
    <row r="8" spans="2:5" ht="18" customHeight="1" x14ac:dyDescent="0.35">
      <c r="B8" s="22"/>
      <c r="C8" s="23" t="s">
        <v>21</v>
      </c>
      <c r="D8" s="22" t="s">
        <v>202</v>
      </c>
      <c r="E8" s="24" t="s">
        <v>207</v>
      </c>
    </row>
    <row r="9" spans="2:5" ht="18" customHeight="1" x14ac:dyDescent="0.35">
      <c r="B9" s="22"/>
      <c r="C9" s="23" t="s">
        <v>22</v>
      </c>
      <c r="D9" s="22" t="s">
        <v>202</v>
      </c>
      <c r="E9" s="24" t="s">
        <v>208</v>
      </c>
    </row>
    <row r="10" spans="2:5" ht="18" customHeight="1" x14ac:dyDescent="0.35">
      <c r="B10" s="22"/>
      <c r="C10" s="23" t="s">
        <v>23</v>
      </c>
      <c r="D10" s="22" t="s">
        <v>209</v>
      </c>
      <c r="E10" s="24" t="s">
        <v>210</v>
      </c>
    </row>
    <row r="11" spans="2:5" ht="18" customHeight="1" x14ac:dyDescent="0.35">
      <c r="B11" s="22"/>
      <c r="C11" s="23" t="s">
        <v>24</v>
      </c>
      <c r="D11" s="22" t="s">
        <v>211</v>
      </c>
      <c r="E11" s="24" t="s">
        <v>212</v>
      </c>
    </row>
    <row r="12" spans="2:5" ht="18" customHeight="1" x14ac:dyDescent="0.35">
      <c r="B12" s="22"/>
      <c r="C12" s="23" t="s">
        <v>25</v>
      </c>
      <c r="D12" s="22" t="s">
        <v>211</v>
      </c>
      <c r="E12" s="24" t="s">
        <v>213</v>
      </c>
    </row>
    <row r="13" spans="2:5" ht="18" customHeight="1" x14ac:dyDescent="0.35">
      <c r="B13" s="22"/>
      <c r="C13" s="23" t="s">
        <v>26</v>
      </c>
      <c r="D13" s="22" t="s">
        <v>211</v>
      </c>
      <c r="E13" s="24" t="s">
        <v>214</v>
      </c>
    </row>
    <row r="14" spans="2:5" ht="18" customHeight="1" x14ac:dyDescent="0.35">
      <c r="B14" s="22"/>
      <c r="C14" s="23" t="s">
        <v>27</v>
      </c>
      <c r="D14" s="22" t="s">
        <v>209</v>
      </c>
      <c r="E14" s="24" t="s">
        <v>215</v>
      </c>
    </row>
    <row r="15" spans="2:5" ht="18" customHeight="1" x14ac:dyDescent="0.35">
      <c r="B15" s="22"/>
      <c r="C15" s="23" t="s">
        <v>28</v>
      </c>
      <c r="D15" s="22" t="s">
        <v>209</v>
      </c>
      <c r="E15" s="24" t="s">
        <v>216</v>
      </c>
    </row>
    <row r="16" spans="2:5" ht="18" customHeight="1" x14ac:dyDescent="0.35">
      <c r="B16" s="22"/>
      <c r="C16" s="23" t="s">
        <v>29</v>
      </c>
      <c r="D16" s="22" t="s">
        <v>209</v>
      </c>
      <c r="E16" s="24" t="s">
        <v>217</v>
      </c>
    </row>
    <row r="17" spans="2:5" ht="18" customHeight="1" x14ac:dyDescent="0.35">
      <c r="B17" s="22"/>
      <c r="C17" s="23" t="s">
        <v>30</v>
      </c>
      <c r="D17" s="22" t="s">
        <v>209</v>
      </c>
      <c r="E17" s="24" t="s">
        <v>218</v>
      </c>
    </row>
    <row r="18" spans="2:5" ht="18" customHeight="1" x14ac:dyDescent="0.35">
      <c r="B18" s="22"/>
      <c r="C18" s="23" t="s">
        <v>31</v>
      </c>
      <c r="D18" s="22" t="s">
        <v>202</v>
      </c>
      <c r="E18" s="24" t="s">
        <v>219</v>
      </c>
    </row>
    <row r="19" spans="2:5" ht="18" customHeight="1" x14ac:dyDescent="0.35">
      <c r="B19" s="22"/>
      <c r="C19" s="23" t="s">
        <v>32</v>
      </c>
      <c r="D19" s="22" t="s">
        <v>202</v>
      </c>
      <c r="E19" s="24" t="s">
        <v>220</v>
      </c>
    </row>
    <row r="20" spans="2:5" ht="21.75" customHeight="1" x14ac:dyDescent="0.35">
      <c r="B20" s="94" t="s">
        <v>221</v>
      </c>
      <c r="C20" s="94"/>
      <c r="D20" s="94"/>
      <c r="E20" s="94"/>
    </row>
    <row r="21" spans="2:5" ht="18" customHeight="1" x14ac:dyDescent="0.35">
      <c r="B21" s="25"/>
      <c r="C21" s="26" t="s">
        <v>17</v>
      </c>
      <c r="D21" s="25" t="s">
        <v>202</v>
      </c>
      <c r="E21" s="27" t="s">
        <v>222</v>
      </c>
    </row>
    <row r="22" spans="2:5" ht="18" customHeight="1" x14ac:dyDescent="0.35">
      <c r="B22" s="25"/>
      <c r="C22" s="26" t="s">
        <v>178</v>
      </c>
      <c r="D22" s="25" t="s">
        <v>202</v>
      </c>
      <c r="E22" s="27" t="s">
        <v>223</v>
      </c>
    </row>
    <row r="23" spans="2:5" ht="18" customHeight="1" x14ac:dyDescent="0.35">
      <c r="B23" s="25"/>
      <c r="C23" s="26" t="s">
        <v>179</v>
      </c>
      <c r="D23" s="25" t="s">
        <v>211</v>
      </c>
      <c r="E23" s="27" t="s">
        <v>224</v>
      </c>
    </row>
    <row r="24" spans="2:5" ht="18" customHeight="1" x14ac:dyDescent="0.35">
      <c r="B24" s="25"/>
      <c r="C24" s="26" t="s">
        <v>180</v>
      </c>
      <c r="D24" s="25" t="s">
        <v>211</v>
      </c>
      <c r="E24" s="27" t="s">
        <v>225</v>
      </c>
    </row>
    <row r="25" spans="2:5" ht="18" customHeight="1" x14ac:dyDescent="0.35">
      <c r="B25" s="25"/>
      <c r="C25" s="26" t="s">
        <v>181</v>
      </c>
      <c r="D25" s="25" t="s">
        <v>211</v>
      </c>
      <c r="E25" s="27" t="s">
        <v>226</v>
      </c>
    </row>
    <row r="26" spans="2:5" ht="18" customHeight="1" x14ac:dyDescent="0.35">
      <c r="B26" s="25"/>
      <c r="C26" s="26" t="s">
        <v>182</v>
      </c>
      <c r="D26" s="25" t="s">
        <v>227</v>
      </c>
      <c r="E26" s="27" t="s">
        <v>228</v>
      </c>
    </row>
    <row r="27" spans="2:5" ht="21.75" customHeight="1" x14ac:dyDescent="0.35">
      <c r="B27" s="95" t="s">
        <v>229</v>
      </c>
      <c r="C27" s="95"/>
      <c r="D27" s="95"/>
      <c r="E27" s="95"/>
    </row>
    <row r="28" spans="2:5" ht="18" customHeight="1" x14ac:dyDescent="0.35">
      <c r="B28" s="28"/>
      <c r="C28" s="29" t="s">
        <v>21</v>
      </c>
      <c r="D28" s="28" t="s">
        <v>202</v>
      </c>
      <c r="E28" s="30" t="s">
        <v>230</v>
      </c>
    </row>
    <row r="29" spans="2:5" ht="18" customHeight="1" x14ac:dyDescent="0.35">
      <c r="B29" s="28"/>
      <c r="C29" s="29" t="s">
        <v>189</v>
      </c>
      <c r="D29" s="28" t="s">
        <v>209</v>
      </c>
      <c r="E29" s="30" t="s">
        <v>231</v>
      </c>
    </row>
    <row r="30" spans="2:5" ht="18" customHeight="1" x14ac:dyDescent="0.35">
      <c r="B30" s="28"/>
      <c r="C30" s="29" t="s">
        <v>190</v>
      </c>
      <c r="D30" s="28" t="s">
        <v>211</v>
      </c>
      <c r="E30" s="30" t="s">
        <v>232</v>
      </c>
    </row>
    <row r="31" spans="2:5" ht="18" customHeight="1" x14ac:dyDescent="0.35">
      <c r="B31" s="28"/>
      <c r="C31" s="29" t="s">
        <v>191</v>
      </c>
      <c r="D31" s="28" t="s">
        <v>211</v>
      </c>
      <c r="E31" s="30" t="s">
        <v>233</v>
      </c>
    </row>
    <row r="32" spans="2:5" ht="18" customHeight="1" x14ac:dyDescent="0.35">
      <c r="B32" s="28"/>
      <c r="C32" s="29" t="s">
        <v>192</v>
      </c>
      <c r="D32" s="28" t="s">
        <v>227</v>
      </c>
      <c r="E32" s="30" t="s">
        <v>234</v>
      </c>
    </row>
    <row r="33" spans="2:5" ht="18" customHeight="1" x14ac:dyDescent="0.35">
      <c r="B33" s="28"/>
      <c r="C33" s="29" t="s">
        <v>193</v>
      </c>
      <c r="D33" s="28" t="s">
        <v>227</v>
      </c>
      <c r="E33" s="30" t="s">
        <v>235</v>
      </c>
    </row>
    <row r="34" spans="2:5" ht="18" customHeight="1" x14ac:dyDescent="0.35">
      <c r="B34" s="28"/>
      <c r="C34" s="29" t="s">
        <v>194</v>
      </c>
      <c r="D34" s="28" t="s">
        <v>227</v>
      </c>
      <c r="E34" s="30" t="s">
        <v>236</v>
      </c>
    </row>
    <row r="35" spans="2:5" ht="18" customHeight="1" x14ac:dyDescent="0.35">
      <c r="B35" s="28"/>
      <c r="C35" s="29" t="s">
        <v>195</v>
      </c>
      <c r="D35" s="28" t="s">
        <v>227</v>
      </c>
      <c r="E35" s="30" t="s">
        <v>237</v>
      </c>
    </row>
    <row r="36" spans="2:5" ht="18" customHeight="1" x14ac:dyDescent="0.35">
      <c r="B36" s="28"/>
      <c r="C36" s="29" t="s">
        <v>196</v>
      </c>
      <c r="D36" s="28" t="s">
        <v>227</v>
      </c>
      <c r="E36" s="30" t="s">
        <v>238</v>
      </c>
    </row>
  </sheetData>
  <sheetProtection algorithmName="SHA-512" hashValue="N/V7Ers6B5g4hP9T5TWdeWk04DRFOSWGOrdzAsZYnE4sQf11xPwNoReHqNLu4fxE6ljOmLOl0CUeqkQ45mJDwA==" saltValue="Cbn0K5AAOmzmnFUJBgB/XQ==" spinCount="100000" sheet="1" objects="1" scenarios="1"/>
  <mergeCells count="3">
    <mergeCell ref="B3:E3"/>
    <mergeCell ref="B20:E20"/>
    <mergeCell ref="B27:E27"/>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5"/>
  <sheetViews>
    <sheetView showGridLines="0" zoomScaleNormal="100" workbookViewId="0">
      <selection activeCell="C17" sqref="C17"/>
    </sheetView>
  </sheetViews>
  <sheetFormatPr defaultColWidth="8.6328125" defaultRowHeight="14.5" x14ac:dyDescent="0.35"/>
  <cols>
    <col min="1" max="1" width="5" customWidth="1"/>
    <col min="2" max="2" width="22.26953125" bestFit="1" customWidth="1"/>
    <col min="3" max="3" width="114.6328125" bestFit="1" customWidth="1"/>
  </cols>
  <sheetData>
    <row r="2" spans="2:3" ht="18" x14ac:dyDescent="0.35">
      <c r="B2" s="96" t="s">
        <v>0</v>
      </c>
      <c r="C2" s="96"/>
    </row>
    <row r="3" spans="2:3" x14ac:dyDescent="0.35">
      <c r="B3" s="1"/>
      <c r="C3" s="1"/>
    </row>
    <row r="4" spans="2:3" x14ac:dyDescent="0.35">
      <c r="B4" s="97" t="s">
        <v>1</v>
      </c>
      <c r="C4" s="97"/>
    </row>
    <row r="5" spans="2:3" x14ac:dyDescent="0.35">
      <c r="B5" s="2" t="s">
        <v>2</v>
      </c>
      <c r="C5" s="3" t="s">
        <v>3</v>
      </c>
    </row>
    <row r="6" spans="2:3" x14ac:dyDescent="0.35">
      <c r="B6" s="2" t="s">
        <v>4</v>
      </c>
      <c r="C6" s="89" t="s">
        <v>283</v>
      </c>
    </row>
    <row r="7" spans="2:3" x14ac:dyDescent="0.35">
      <c r="B7" s="2" t="s">
        <v>5</v>
      </c>
      <c r="C7" s="90">
        <v>2026</v>
      </c>
    </row>
    <row r="8" spans="2:3" x14ac:dyDescent="0.35">
      <c r="B8" s="2" t="s">
        <v>6</v>
      </c>
      <c r="C8" s="3" t="s">
        <v>7</v>
      </c>
    </row>
    <row r="9" spans="2:3" x14ac:dyDescent="0.35">
      <c r="B9" s="1"/>
      <c r="C9" s="1"/>
    </row>
    <row r="10" spans="2:3" x14ac:dyDescent="0.35">
      <c r="B10" s="97" t="s">
        <v>8</v>
      </c>
      <c r="C10" s="97"/>
    </row>
    <row r="11" spans="2:3" x14ac:dyDescent="0.35">
      <c r="B11" s="2" t="s">
        <v>9</v>
      </c>
      <c r="C11" s="3" t="s">
        <v>10</v>
      </c>
    </row>
    <row r="12" spans="2:3" x14ac:dyDescent="0.35">
      <c r="B12" s="2" t="s">
        <v>11</v>
      </c>
      <c r="C12" s="89" t="s">
        <v>12</v>
      </c>
    </row>
    <row r="13" spans="2:3" x14ac:dyDescent="0.35">
      <c r="B13" s="2" t="s">
        <v>13</v>
      </c>
      <c r="C13" s="3" t="s">
        <v>14</v>
      </c>
    </row>
    <row r="14" spans="2:3" x14ac:dyDescent="0.35">
      <c r="B14" s="2" t="s">
        <v>15</v>
      </c>
      <c r="C14" t="s">
        <v>16</v>
      </c>
    </row>
    <row r="15" spans="2:3" x14ac:dyDescent="0.35">
      <c r="B15" s="88"/>
    </row>
  </sheetData>
  <sheetProtection algorithmName="SHA-512" hashValue="sjAwzB3A4L5AplUVsb8GmR5O6Y97qcdLfBucgAzS73EylpL30PSoJq6WiuQT40JomaUaTKG1Yc8UdkXQP0L1tQ==" saltValue="mI8tLHHYPXJ0JBhc7TDRPQ==" spinCount="100000" sheet="1" objects="1" scenarios="1"/>
  <mergeCells count="3">
    <mergeCell ref="B2:C2"/>
    <mergeCell ref="B4:C4"/>
    <mergeCell ref="B10:C10"/>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46C27C-3841-4BFE-93ED-2A0011E9DA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 </vt:lpstr>
      <vt:lpstr>CALCULATIONS</vt:lpstr>
      <vt:lpstr>Q1_Cost_Overrun</vt:lpstr>
      <vt:lpstr>Q2_Phase_Risk</vt:lpstr>
      <vt:lpstr>Q3_Contractor_Performance</vt:lpstr>
      <vt:lpstr>Q4_Risk_Flags</vt:lpstr>
      <vt:lpstr>Q5_Improvement_Areas</vt:lpstr>
      <vt:lpstr>Projects (cleaned data)</vt:lpstr>
      <vt:lpstr>Phase_Breakdown</vt:lpstr>
      <vt:lpstr>Contractor_Scorecard</vt:lpstr>
      <vt:lpstr>Data_Dictionary</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monsuru adeleke</cp:lastModifiedBy>
  <cp:revision>0</cp:revision>
  <dcterms:created xsi:type="dcterms:W3CDTF">2026-04-22T08:55:38Z</dcterms:created>
  <dcterms:modified xsi:type="dcterms:W3CDTF">2026-04-29T07:47:01Z</dcterms:modified>
  <dc:language>en-US</dc:language>
</cp:coreProperties>
</file>