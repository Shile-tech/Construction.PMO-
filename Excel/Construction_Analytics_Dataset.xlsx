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jects" sheetId="2" state="visible" r:id="rId4"/>
    <sheet name="Phase_Breakdown" sheetId="3" state="visible" r:id="rId5"/>
    <sheet name="Contractor_Scorecard" sheetId="4" state="visible" r:id="rId6"/>
    <sheet name="Data_Diction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<sst xmlns="http://schemas.openxmlformats.org/spreadsheetml/2006/main" count="1160" uniqueCount="241">
  <si>
    <t xml:space="preserve">🏗️  CONSTRUCTION PROJECT ANALYTICS DATASET</t>
  </si>
  <si>
    <t xml:space="preserve">Project Overview</t>
  </si>
  <si>
    <t xml:space="preserve">Purpose</t>
  </si>
  <si>
    <t xml:space="preserve">Realistic dataset simulating a Nigerian construction PMO with 50 projects across 10 states — designed to support end-to-end data analysis.</t>
  </si>
  <si>
    <t xml:space="preserve">Analyst</t>
  </si>
  <si>
    <t xml:space="preserve">[Your Name]</t>
  </si>
  <si>
    <t xml:space="preserve">Date Created</t>
  </si>
  <si>
    <t xml:space="preserve">2024</t>
  </si>
  <si>
    <t xml:space="preserve">Tool Used</t>
  </si>
  <si>
    <t xml:space="preserve">Microsoft Excel + SQL</t>
  </si>
  <si>
    <t xml:space="preserve">Sheet Guide</t>
  </si>
  <si>
    <t xml:space="preserve">1. Projects</t>
  </si>
  <si>
    <t xml:space="preserve">Master table — 50 projects with budget, cost, schedule &amp; status data</t>
  </si>
  <si>
    <t xml:space="preserve">2. Phase_Breakdown</t>
  </si>
  <si>
    <t xml:space="preserve">Per-phase cost breakdown for every project (6 phases × 50 projects)</t>
  </si>
  <si>
    <t xml:space="preserve">3. Contractor_Scorecard</t>
  </si>
  <si>
    <t xml:space="preserve">Aggregated contractor performance metrics</t>
  </si>
  <si>
    <t xml:space="preserve">4. Data_Dictionary</t>
  </si>
  <si>
    <t xml:space="preserve">Column definitions &amp; data types for all three tables</t>
  </si>
  <si>
    <t xml:space="preserve">Project_ID</t>
  </si>
  <si>
    <t xml:space="preserve">Project_Name</t>
  </si>
  <si>
    <t xml:space="preserve">Project_Type</t>
  </si>
  <si>
    <t xml:space="preserve">State</t>
  </si>
  <si>
    <t xml:space="preserve">Contractor</t>
  </si>
  <si>
    <t xml:space="preserve">Consultant</t>
  </si>
  <si>
    <t xml:space="preserve">Year_Start</t>
  </si>
  <si>
    <t xml:space="preserve">Budget_NGN</t>
  </si>
  <si>
    <t xml:space="preserve">Actual_Cost_NGN</t>
  </si>
  <si>
    <t xml:space="preserve">Cost_Overrun_NGN</t>
  </si>
  <si>
    <t xml:space="preserve">Planned_Duration_Months</t>
  </si>
  <si>
    <t xml:space="preserve">Actual_Duration_Months</t>
  </si>
  <si>
    <t xml:space="preserve">Schedule_Delay_Months</t>
  </si>
  <si>
    <t xml:space="preserve">Pct_Complete</t>
  </si>
  <si>
    <t xml:space="preserve">Primary_Delay_Reason</t>
  </si>
  <si>
    <t xml:space="preserve">Status</t>
  </si>
  <si>
    <t xml:space="preserve">PRJ-001</t>
  </si>
  <si>
    <t xml:space="preserve">Lagos Bridge Phase 1</t>
  </si>
  <si>
    <t xml:space="preserve">Bridge</t>
  </si>
  <si>
    <t xml:space="preserve">Lagos</t>
  </si>
  <si>
    <t xml:space="preserve">Pioneer Builders Ltd</t>
  </si>
  <si>
    <t xml:space="preserve">Mott McDonald</t>
  </si>
  <si>
    <t xml:space="preserve">Poor site supervision</t>
  </si>
  <si>
    <t xml:space="preserve">Ongoing</t>
  </si>
  <si>
    <t xml:space="preserve">PRJ-002</t>
  </si>
  <si>
    <t xml:space="preserve">Kano Bridge Phase 2</t>
  </si>
  <si>
    <t xml:space="preserve">Kano</t>
  </si>
  <si>
    <t xml:space="preserve">Apex Infra Ltd</t>
  </si>
  <si>
    <t xml:space="preserve">Scott Wilson</t>
  </si>
  <si>
    <t xml:space="preserve">Permit issues</t>
  </si>
  <si>
    <t xml:space="preserve">PRJ-003</t>
  </si>
  <si>
    <t xml:space="preserve">Rivers Road Construction Phase 2</t>
  </si>
  <si>
    <t xml:space="preserve">Road Construction</t>
  </si>
  <si>
    <t xml:space="preserve">Rivers</t>
  </si>
  <si>
    <t xml:space="preserve">Grandeur Works</t>
  </si>
  <si>
    <t xml:space="preserve">Julius Berger Consult</t>
  </si>
  <si>
    <t xml:space="preserve">Material price escalation</t>
  </si>
  <si>
    <t xml:space="preserve">PRJ-004</t>
  </si>
  <si>
    <t xml:space="preserve"> Edo School Block Phase 2</t>
  </si>
  <si>
    <t xml:space="preserve">School Block</t>
  </si>
  <si>
    <t xml:space="preserve"> Edo</t>
  </si>
  <si>
    <t xml:space="preserve">AECOM Nigeria</t>
  </si>
  <si>
    <t xml:space="preserve">PRJ-005</t>
  </si>
  <si>
    <t xml:space="preserve">Kano Erosion Control Phase 2</t>
  </si>
  <si>
    <t xml:space="preserve">Erosion Control</t>
  </si>
  <si>
    <t xml:space="preserve">BuildRight Nig Ltd</t>
  </si>
  <si>
    <t xml:space="preserve">Design changes</t>
  </si>
  <si>
    <t xml:space="preserve">PRJ-006</t>
  </si>
  <si>
    <t xml:space="preserve">Rivers School Block Phase 3</t>
  </si>
  <si>
    <t xml:space="preserve">Nile Construction</t>
  </si>
  <si>
    <t xml:space="preserve">Labour dispute</t>
  </si>
  <si>
    <t xml:space="preserve">PRJ-007</t>
  </si>
  <si>
    <t xml:space="preserve">Rivers Housing Estate Phase 1</t>
  </si>
  <si>
    <t xml:space="preserve">Housing Estate</t>
  </si>
  <si>
    <t xml:space="preserve">Greenfield Eng Ltd</t>
  </si>
  <si>
    <t xml:space="preserve">CCECC Consult</t>
  </si>
  <si>
    <t xml:space="preserve">PRJ-008</t>
  </si>
  <si>
    <t xml:space="preserve">Enugu Road Construction Phase 3</t>
  </si>
  <si>
    <t xml:space="preserve">Enugu</t>
  </si>
  <si>
    <t xml:space="preserve">Community protest</t>
  </si>
  <si>
    <t xml:space="preserve">PRJ-009</t>
  </si>
  <si>
    <t xml:space="preserve">Rivers Culvert Phase 1</t>
  </si>
  <si>
    <t xml:space="preserve">Culvert</t>
  </si>
  <si>
    <t xml:space="preserve">Funding delay</t>
  </si>
  <si>
    <t xml:space="preserve">PRJ-010</t>
  </si>
  <si>
    <t xml:space="preserve">Anambra Drainage System Phase 1</t>
  </si>
  <si>
    <t xml:space="preserve">Drainage System</t>
  </si>
  <si>
    <t xml:space="preserve">Anambra</t>
  </si>
  <si>
    <t xml:space="preserve">PRJ-011</t>
  </si>
  <si>
    <t xml:space="preserve">Delta Hospital Phase 2</t>
  </si>
  <si>
    <t xml:space="preserve">Hospital</t>
  </si>
  <si>
    <t xml:space="preserve">Delta</t>
  </si>
  <si>
    <t xml:space="preserve">Mainland Const. Co.</t>
  </si>
  <si>
    <t xml:space="preserve">Delayed</t>
  </si>
  <si>
    <t xml:space="preserve">PRJ-012</t>
  </si>
  <si>
    <t xml:space="preserve">Abuja School Block Phase 1</t>
  </si>
  <si>
    <t xml:space="preserve">Abuja</t>
  </si>
  <si>
    <t xml:space="preserve">PRJ-013</t>
  </si>
  <si>
    <t xml:space="preserve">Anambra Water Treatment Plant Phase 1</t>
  </si>
  <si>
    <t xml:space="preserve">Water Treatment Plant</t>
  </si>
  <si>
    <t xml:space="preserve">Equipment breakdown</t>
  </si>
  <si>
    <t xml:space="preserve">PRJ-014</t>
  </si>
  <si>
    <t xml:space="preserve">Enugu Bridge Phase 3</t>
  </si>
  <si>
    <t xml:space="preserve">PRJ-015</t>
  </si>
  <si>
    <t xml:space="preserve">Rivers Drainage System Phase 3</t>
  </si>
  <si>
    <t xml:space="preserve">Adverse weather</t>
  </si>
  <si>
    <t xml:space="preserve">PRJ-016</t>
  </si>
  <si>
    <t xml:space="preserve">Delta Water Treatment Plant Phase 3</t>
  </si>
  <si>
    <t xml:space="preserve">Completed</t>
  </si>
  <si>
    <t xml:space="preserve">PRJ-017</t>
  </si>
  <si>
    <t xml:space="preserve">Lagos Housing Estate Phase 3</t>
  </si>
  <si>
    <t xml:space="preserve">PRJ-018</t>
  </si>
  <si>
    <t xml:space="preserve">Kano Culvert Phase 1</t>
  </si>
  <si>
    <t xml:space="preserve">Horizon Builders</t>
  </si>
  <si>
    <t xml:space="preserve">PRJ-019</t>
  </si>
  <si>
    <t xml:space="preserve">Enugu Hospital Phase 1</t>
  </si>
  <si>
    <t xml:space="preserve">PRJ-020</t>
  </si>
  <si>
    <t xml:space="preserve">Kano Housing Estate Phase 3</t>
  </si>
  <si>
    <t xml:space="preserve">PRJ-021</t>
  </si>
  <si>
    <t xml:space="preserve">Lagos Bridge Phase 2</t>
  </si>
  <si>
    <t xml:space="preserve">PRJ-022</t>
  </si>
  <si>
    <t xml:space="preserve">Rivers Road Construction Phase 1</t>
  </si>
  <si>
    <t xml:space="preserve">Contractor default</t>
  </si>
  <si>
    <t xml:space="preserve">PRJ-023</t>
  </si>
  <si>
    <t xml:space="preserve">Kano Water Treatment Plant Phase 1</t>
  </si>
  <si>
    <t xml:space="preserve">Tetrazzini &amp; Sons Ltd</t>
  </si>
  <si>
    <t xml:space="preserve">PRJ-024</t>
  </si>
  <si>
    <t xml:space="preserve">Anambra Road Construction Phase 3</t>
  </si>
  <si>
    <t xml:space="preserve">PRJ-025</t>
  </si>
  <si>
    <t xml:space="preserve"> Edo Road Construction Phase 2</t>
  </si>
  <si>
    <t xml:space="preserve">PRJ-026</t>
  </si>
  <si>
    <t xml:space="preserve">Rivers Hospital Phase 3</t>
  </si>
  <si>
    <t xml:space="preserve">PRJ-027</t>
  </si>
  <si>
    <t xml:space="preserve">Anambra Housing Estate Phase 3</t>
  </si>
  <si>
    <t xml:space="preserve">PRJ-028</t>
  </si>
  <si>
    <t xml:space="preserve"> Edo Water Treatment Plant Phase 1</t>
  </si>
  <si>
    <t xml:space="preserve">PRJ-029</t>
  </si>
  <si>
    <t xml:space="preserve">Oyo Water Treatment Plant Phase 1</t>
  </si>
  <si>
    <t xml:space="preserve">Oyo</t>
  </si>
  <si>
    <t xml:space="preserve">PRJ-030</t>
  </si>
  <si>
    <t xml:space="preserve">Oyo Hospital Phase 3</t>
  </si>
  <si>
    <t xml:space="preserve">PRJ-031</t>
  </si>
  <si>
    <t xml:space="preserve">Anambra Hospital Phase 3</t>
  </si>
  <si>
    <t xml:space="preserve">PRJ-032</t>
  </si>
  <si>
    <t xml:space="preserve">Delta Drainage System Phase 3</t>
  </si>
  <si>
    <t xml:space="preserve">Fedex Const. Co.</t>
  </si>
  <si>
    <t xml:space="preserve">PRJ-033</t>
  </si>
  <si>
    <t xml:space="preserve">Enugu Bridge Phase 1</t>
  </si>
  <si>
    <t xml:space="preserve">PRJ-034</t>
  </si>
  <si>
    <t xml:space="preserve">Enugu Drainage System Phase 1</t>
  </si>
  <si>
    <t xml:space="preserve">PRJ-035</t>
  </si>
  <si>
    <t xml:space="preserve">Enugu Culvert Phase 2</t>
  </si>
  <si>
    <t xml:space="preserve">PRJ-036</t>
  </si>
  <si>
    <t xml:space="preserve">Delta Retaining Wall Phase 1</t>
  </si>
  <si>
    <t xml:space="preserve">Retaining Wall</t>
  </si>
  <si>
    <t xml:space="preserve">PRJ-037</t>
  </si>
  <si>
    <t xml:space="preserve">Delta Erosion Control Phase 1</t>
  </si>
  <si>
    <t xml:space="preserve">PRJ-038</t>
  </si>
  <si>
    <t xml:space="preserve">Lagos Hospital Phase 3</t>
  </si>
  <si>
    <t xml:space="preserve">PRJ-039</t>
  </si>
  <si>
    <t xml:space="preserve">PRJ-040</t>
  </si>
  <si>
    <t xml:space="preserve">PRJ-041</t>
  </si>
  <si>
    <t xml:space="preserve">PRJ-042</t>
  </si>
  <si>
    <t xml:space="preserve">Rivers Housing Estate Phase 2</t>
  </si>
  <si>
    <t xml:space="preserve">PRJ-043</t>
  </si>
  <si>
    <t xml:space="preserve">Kano Hospital Phase 2</t>
  </si>
  <si>
    <t xml:space="preserve">PRJ-044</t>
  </si>
  <si>
    <t xml:space="preserve">Kaduna Drainage System Phase 3</t>
  </si>
  <si>
    <t xml:space="preserve">Kaduna</t>
  </si>
  <si>
    <t xml:space="preserve">PRJ-045</t>
  </si>
  <si>
    <t xml:space="preserve">Rivers Culvert Phase 3</t>
  </si>
  <si>
    <t xml:space="preserve">PRJ-046</t>
  </si>
  <si>
    <t xml:space="preserve">Oyo Housing Estate Phase 2</t>
  </si>
  <si>
    <t xml:space="preserve">PRJ-047</t>
  </si>
  <si>
    <t xml:space="preserve">Kano Drainage System Phase 3</t>
  </si>
  <si>
    <t xml:space="preserve">PRJ-048</t>
  </si>
  <si>
    <t xml:space="preserve"> Edo Road Construction Phase 3</t>
  </si>
  <si>
    <t xml:space="preserve">PRJ-049</t>
  </si>
  <si>
    <t xml:space="preserve"> Edo Retaining Wall Phase 2</t>
  </si>
  <si>
    <t xml:space="preserve">PRJ-050</t>
  </si>
  <si>
    <t xml:space="preserve"> Edo Drainage System Phase 1</t>
  </si>
  <si>
    <t xml:space="preserve">Phase</t>
  </si>
  <si>
    <t xml:space="preserve">Phase_Budget_NGN</t>
  </si>
  <si>
    <t xml:space="preserve">Phase_Actual_NGN</t>
  </si>
  <si>
    <t xml:space="preserve">Phase_Overrun_NGN</t>
  </si>
  <si>
    <t xml:space="preserve">Phase_Overrun_Pct</t>
  </si>
  <si>
    <t xml:space="preserve">Design</t>
  </si>
  <si>
    <t xml:space="preserve">Procurement</t>
  </si>
  <si>
    <t xml:space="preserve">Mobilisation</t>
  </si>
  <si>
    <t xml:space="preserve">Construction</t>
  </si>
  <si>
    <t xml:space="preserve">Testing &amp; Commissioning</t>
  </si>
  <si>
    <t xml:space="preserve">Handover</t>
  </si>
  <si>
    <t xml:space="preserve">Projects_Handled</t>
  </si>
  <si>
    <t xml:space="preserve">Total_Budget_NGN</t>
  </si>
  <si>
    <t xml:space="preserve">Total_Actual_NGN</t>
  </si>
  <si>
    <t xml:space="preserve">Avg_Cost_Overrun_Pct</t>
  </si>
  <si>
    <t xml:space="preserve">Avg_Planned_Duration</t>
  </si>
  <si>
    <t xml:space="preserve">Avg_Actual_Duration</t>
  </si>
  <si>
    <t xml:space="preserve">Delay_Rate_Pct</t>
  </si>
  <si>
    <t xml:space="preserve">Performance_Score</t>
  </si>
  <si>
    <t xml:space="preserve">Table</t>
  </si>
  <si>
    <t xml:space="preserve">Column</t>
  </si>
  <si>
    <t xml:space="preserve">Data Type</t>
  </si>
  <si>
    <t xml:space="preserve">Description</t>
  </si>
  <si>
    <t xml:space="preserve">  ▶  Projects</t>
  </si>
  <si>
    <t xml:space="preserve">TEXT</t>
  </si>
  <si>
    <t xml:space="preserve">Unique identifier for each project (e.g. PRJ-001)</t>
  </si>
  <si>
    <t xml:space="preserve">Descriptive name: State + Type + Phase</t>
  </si>
  <si>
    <t xml:space="preserve">Category of infrastructure project</t>
  </si>
  <si>
    <t xml:space="preserve">Nigerian state where project is located</t>
  </si>
  <si>
    <t xml:space="preserve">Name of the main contractor</t>
  </si>
  <si>
    <t xml:space="preserve">Supervising consultant firm</t>
  </si>
  <si>
    <t xml:space="preserve">INTEGER</t>
  </si>
  <si>
    <t xml:space="preserve">Year the project commenced</t>
  </si>
  <si>
    <t xml:space="preserve">CURRENCY</t>
  </si>
  <si>
    <t xml:space="preserve">Original approved project budget (Naira)</t>
  </si>
  <si>
    <t xml:space="preserve">Final or current actual expenditure (Naira)</t>
  </si>
  <si>
    <t xml:space="preserve">Actual Cost minus Budget (positive = overrun)</t>
  </si>
  <si>
    <t xml:space="preserve">Original planned project duration in months</t>
  </si>
  <si>
    <t xml:space="preserve">Actual or projected completion duration</t>
  </si>
  <si>
    <t xml:space="preserve">Actual minus Planned duration (positive = delay)</t>
  </si>
  <si>
    <t xml:space="preserve">Percentage of work completed (0–100)</t>
  </si>
  <si>
    <t xml:space="preserve">Main recorded reason for schedule delay</t>
  </si>
  <si>
    <t xml:space="preserve">Project status: Completed / Ongoing / Delayed</t>
  </si>
  <si>
    <t xml:space="preserve">  ▶  Phase_Breakdown</t>
  </si>
  <si>
    <t xml:space="preserve">Foreign key linking to Projects table</t>
  </si>
  <si>
    <t xml:space="preserve">Project phase name (Design, Procurement, etc.)</t>
  </si>
  <si>
    <t xml:space="preserve">Allocated budget for this phase</t>
  </si>
  <si>
    <t xml:space="preserve">Actual spend for this phase</t>
  </si>
  <si>
    <t xml:space="preserve">Phase overrun in Naira</t>
  </si>
  <si>
    <t xml:space="preserve">DECIMAL</t>
  </si>
  <si>
    <t xml:space="preserve">Phase overrun as percentage of phase budget</t>
  </si>
  <si>
    <t xml:space="preserve">  ▶  Contractor_Scorecard</t>
  </si>
  <si>
    <t xml:space="preserve">Contractor name (primary key)</t>
  </si>
  <si>
    <t xml:space="preserve">Total number of projects awarded</t>
  </si>
  <si>
    <t xml:space="preserve">Sum of all project budgets</t>
  </si>
  <si>
    <t xml:space="preserve">Sum of all actual costs</t>
  </si>
  <si>
    <t xml:space="preserve">Average cost overrun % across all projects</t>
  </si>
  <si>
    <t xml:space="preserve">Average planned project duration in months</t>
  </si>
  <si>
    <t xml:space="preserve">Average actual project duration in months</t>
  </si>
  <si>
    <t xml:space="preserve">% of projects with schedule delays</t>
  </si>
  <si>
    <t xml:space="preserve">Composite score: 100 minus overrun &amp; delay rates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</si>
</sst>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"/>
    <numFmt numFmtId="167" formatCode="0\%"/>
    <numFmt numFmtId="168" formatCode="0.0\%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C55A11"/>
        <bgColor rgb="FF993300"/>
      </patternFill>
    </fill>
    <fill>
      <patternFill patternType="solid">
        <fgColor rgb="FF37562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65"/>
  </cols>
  <sheetData>
    <row r="2" customFormat="false" ht="34.5" hidden="false" customHeight="true" outlineLevel="0" collapsed="false">
      <c r="B2" s="1" t="s">
        <v>0</v>
      </c>
      <c r="C2" s="1"/>
    </row>
    <row r="3" customFormat="false" ht="15" hidden="false" customHeight="false" outlineLevel="0" collapsed="false">
      <c r="B3" s="2"/>
      <c r="C3" s="2"/>
    </row>
    <row r="4" customFormat="false" ht="15" hidden="false" customHeight="false" outlineLevel="0" collapsed="false">
      <c r="B4" s="3" t="s">
        <v>1</v>
      </c>
      <c r="C4" s="3"/>
    </row>
    <row r="5" customFormat="false" ht="21.75" hidden="false" customHeight="true" outlineLevel="0" collapsed="false">
      <c r="B5" s="4" t="s">
        <v>2</v>
      </c>
      <c r="C5" s="5" t="s">
        <v>3</v>
      </c>
    </row>
    <row r="6" customFormat="false" ht="21.75" hidden="false" customHeight="true" outlineLevel="0" collapsed="false">
      <c r="B6" s="4" t="s">
        <v>4</v>
      </c>
      <c r="C6" s="5" t="s">
        <v>5</v>
      </c>
    </row>
    <row r="7" customFormat="false" ht="21.75" hidden="false" customHeight="true" outlineLevel="0" collapsed="false">
      <c r="B7" s="4" t="s">
        <v>6</v>
      </c>
      <c r="C7" s="5" t="s">
        <v>7</v>
      </c>
    </row>
    <row r="8" customFormat="false" ht="21.75" hidden="false" customHeight="true" outlineLevel="0" collapsed="false">
      <c r="B8" s="4" t="s">
        <v>8</v>
      </c>
      <c r="C8" s="5" t="s">
        <v>9</v>
      </c>
    </row>
    <row r="9" customFormat="false" ht="15" hidden="false" customHeight="false" outlineLevel="0" collapsed="false">
      <c r="B9" s="2"/>
      <c r="C9" s="2"/>
    </row>
    <row r="10" customFormat="false" ht="15" hidden="false" customHeight="false" outlineLevel="0" collapsed="false">
      <c r="B10" s="3" t="s">
        <v>10</v>
      </c>
      <c r="C10" s="3"/>
    </row>
    <row r="11" customFormat="false" ht="15" hidden="false" customHeight="false" outlineLevel="0" collapsed="false">
      <c r="B11" s="4" t="s">
        <v>11</v>
      </c>
      <c r="C11" s="5" t="s">
        <v>12</v>
      </c>
    </row>
    <row r="12" customFormat="false" ht="15" hidden="false" customHeight="false" outlineLevel="0" collapsed="false">
      <c r="B12" s="4" t="s">
        <v>13</v>
      </c>
      <c r="C12" s="5" t="s">
        <v>14</v>
      </c>
    </row>
    <row r="13" customFormat="false" ht="15" hidden="false" customHeight="false" outlineLevel="0" collapsed="false">
      <c r="B13" s="4" t="s">
        <v>15</v>
      </c>
      <c r="C13" s="5" t="s">
        <v>16</v>
      </c>
    </row>
    <row r="14" customFormat="false" ht="15" hidden="false" customHeight="false" outlineLevel="0" collapsed="false">
      <c r="B14" s="4" t="s">
        <v>17</v>
      </c>
      <c r="C14" s="5" t="s">
        <v>18</v>
      </c>
    </row>
    <row r="15" customFormat="false" ht="15" hidden="false" customHeight="false" outlineLevel="0" collapsed="false">
      <c r="B15" s="2"/>
      <c r="C15" s="2"/>
    </row>
  </sheetData>
  <mergeCells count="3">
    <mergeCell ref="B2:C2"/>
    <mergeCell ref="B4:C4"/>
    <mergeCell ref="B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5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10" min="8" style="0" width="20"/>
    <col collapsed="false" customWidth="true" hidden="false" outlineLevel="0" max="13" min="11" style="0" width="22"/>
    <col collapsed="false" customWidth="true" hidden="false" outlineLevel="0" max="14" min="14" style="0" width="13"/>
    <col collapsed="false" customWidth="true" hidden="false" outlineLevel="0" max="15" min="15" style="0" width="28"/>
    <col collapsed="false" customWidth="true" hidden="false" outlineLevel="0" max="16" min="16" style="0" width="12"/>
  </cols>
  <sheetData>
    <row r="1" customFormat="false" ht="34.5" hidden="false" customHeight="tru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</row>
    <row r="2" customFormat="false" ht="15" hidden="false" customHeight="false" outlineLevel="0" collapsed="false">
      <c r="A2" s="7" t="s">
        <v>35</v>
      </c>
      <c r="B2" s="8" t="s">
        <v>36</v>
      </c>
      <c r="C2" s="8" t="s">
        <v>37</v>
      </c>
      <c r="D2" s="8" t="s">
        <v>38</v>
      </c>
      <c r="E2" s="8" t="s">
        <v>39</v>
      </c>
      <c r="F2" s="8" t="s">
        <v>40</v>
      </c>
      <c r="G2" s="7" t="n">
        <v>2020</v>
      </c>
      <c r="H2" s="9" t="n">
        <v>322099000</v>
      </c>
      <c r="I2" s="9" t="n">
        <v>325802000</v>
      </c>
      <c r="J2" s="10" t="n">
        <v>3703000</v>
      </c>
      <c r="K2" s="11" t="n">
        <v>46</v>
      </c>
      <c r="L2" s="11" t="n">
        <v>49</v>
      </c>
      <c r="M2" s="11" t="n">
        <v>3</v>
      </c>
      <c r="N2" s="12" t="n">
        <v>84</v>
      </c>
      <c r="O2" s="8" t="s">
        <v>41</v>
      </c>
      <c r="P2" s="13" t="s">
        <v>42</v>
      </c>
    </row>
    <row r="3" customFormat="false" ht="15" hidden="false" customHeight="false" outlineLevel="0" collapsed="false">
      <c r="A3" s="14" t="s">
        <v>43</v>
      </c>
      <c r="B3" s="15" t="s">
        <v>44</v>
      </c>
      <c r="C3" s="15" t="s">
        <v>37</v>
      </c>
      <c r="D3" s="15" t="s">
        <v>45</v>
      </c>
      <c r="E3" s="15" t="s">
        <v>46</v>
      </c>
      <c r="F3" s="15" t="s">
        <v>47</v>
      </c>
      <c r="G3" s="14" t="n">
        <v>2023</v>
      </c>
      <c r="H3" s="16" t="n">
        <v>101745000</v>
      </c>
      <c r="I3" s="16" t="n">
        <v>108796000</v>
      </c>
      <c r="J3" s="10" t="n">
        <v>7051000</v>
      </c>
      <c r="K3" s="17" t="n">
        <v>46</v>
      </c>
      <c r="L3" s="17" t="n">
        <v>60</v>
      </c>
      <c r="M3" s="17" t="n">
        <v>14</v>
      </c>
      <c r="N3" s="18" t="n">
        <v>87</v>
      </c>
      <c r="O3" s="15" t="s">
        <v>48</v>
      </c>
      <c r="P3" s="13" t="s">
        <v>42</v>
      </c>
    </row>
    <row r="4" customFormat="false" ht="15" hidden="false" customHeight="false" outlineLevel="0" collapsed="false">
      <c r="A4" s="7" t="s">
        <v>49</v>
      </c>
      <c r="B4" s="8" t="s">
        <v>50</v>
      </c>
      <c r="C4" s="8" t="s">
        <v>51</v>
      </c>
      <c r="D4" s="8" t="s">
        <v>52</v>
      </c>
      <c r="E4" s="8" t="s">
        <v>53</v>
      </c>
      <c r="F4" s="8" t="s">
        <v>54</v>
      </c>
      <c r="G4" s="7" t="n">
        <v>2021</v>
      </c>
      <c r="H4" s="9" t="n">
        <v>353185000</v>
      </c>
      <c r="I4" s="9" t="n">
        <v>538370000</v>
      </c>
      <c r="J4" s="10" t="n">
        <v>185185000</v>
      </c>
      <c r="K4" s="11" t="n">
        <v>33</v>
      </c>
      <c r="L4" s="11" t="n">
        <v>35</v>
      </c>
      <c r="M4" s="11" t="n">
        <v>2</v>
      </c>
      <c r="N4" s="12" t="n">
        <v>78</v>
      </c>
      <c r="O4" s="8" t="s">
        <v>55</v>
      </c>
      <c r="P4" s="13" t="s">
        <v>42</v>
      </c>
    </row>
    <row r="5" customFormat="false" ht="15" hidden="false" customHeight="false" outlineLevel="0" collapsed="false">
      <c r="A5" s="14" t="s">
        <v>56</v>
      </c>
      <c r="B5" s="15" t="s">
        <v>57</v>
      </c>
      <c r="C5" s="15" t="s">
        <v>58</v>
      </c>
      <c r="D5" s="15" t="s">
        <v>59</v>
      </c>
      <c r="E5" s="15" t="s">
        <v>39</v>
      </c>
      <c r="F5" s="15" t="s">
        <v>60</v>
      </c>
      <c r="G5" s="14" t="n">
        <v>2022</v>
      </c>
      <c r="H5" s="16" t="n">
        <v>1095645000</v>
      </c>
      <c r="I5" s="16" t="n">
        <v>1680576000</v>
      </c>
      <c r="J5" s="10" t="n">
        <v>584931000</v>
      </c>
      <c r="K5" s="17" t="n">
        <v>36</v>
      </c>
      <c r="L5" s="17" t="n">
        <v>38</v>
      </c>
      <c r="M5" s="17" t="n">
        <v>2</v>
      </c>
      <c r="N5" s="18" t="n">
        <v>67</v>
      </c>
      <c r="O5" s="15" t="s">
        <v>48</v>
      </c>
      <c r="P5" s="13" t="s">
        <v>42</v>
      </c>
    </row>
    <row r="6" customFormat="false" ht="15" hidden="false" customHeight="false" outlineLevel="0" collapsed="false">
      <c r="A6" s="7" t="s">
        <v>61</v>
      </c>
      <c r="B6" s="8" t="s">
        <v>62</v>
      </c>
      <c r="C6" s="8" t="s">
        <v>63</v>
      </c>
      <c r="D6" s="8" t="s">
        <v>45</v>
      </c>
      <c r="E6" s="8" t="s">
        <v>64</v>
      </c>
      <c r="F6" s="8" t="s">
        <v>60</v>
      </c>
      <c r="G6" s="7" t="n">
        <v>2020</v>
      </c>
      <c r="H6" s="9" t="n">
        <v>1557483000</v>
      </c>
      <c r="I6" s="9" t="n">
        <v>2400288000</v>
      </c>
      <c r="J6" s="10" t="n">
        <v>842805000</v>
      </c>
      <c r="K6" s="11" t="n">
        <v>26</v>
      </c>
      <c r="L6" s="11" t="n">
        <v>42</v>
      </c>
      <c r="M6" s="11" t="n">
        <v>16</v>
      </c>
      <c r="N6" s="12" t="n">
        <v>78</v>
      </c>
      <c r="O6" s="8" t="s">
        <v>65</v>
      </c>
      <c r="P6" s="13" t="s">
        <v>42</v>
      </c>
    </row>
    <row r="7" customFormat="false" ht="15" hidden="false" customHeight="false" outlineLevel="0" collapsed="false">
      <c r="A7" s="14" t="s">
        <v>66</v>
      </c>
      <c r="B7" s="15" t="s">
        <v>67</v>
      </c>
      <c r="C7" s="15" t="s">
        <v>58</v>
      </c>
      <c r="D7" s="15" t="s">
        <v>52</v>
      </c>
      <c r="E7" s="15" t="s">
        <v>68</v>
      </c>
      <c r="F7" s="15" t="s">
        <v>54</v>
      </c>
      <c r="G7" s="14" t="n">
        <v>2020</v>
      </c>
      <c r="H7" s="16" t="n">
        <v>1356842000</v>
      </c>
      <c r="I7" s="16" t="n">
        <v>1860355000</v>
      </c>
      <c r="J7" s="10" t="n">
        <v>503513000</v>
      </c>
      <c r="K7" s="17" t="n">
        <v>16</v>
      </c>
      <c r="L7" s="17" t="n">
        <v>23</v>
      </c>
      <c r="M7" s="17" t="n">
        <v>7</v>
      </c>
      <c r="N7" s="18" t="n">
        <v>51</v>
      </c>
      <c r="O7" s="15" t="s">
        <v>69</v>
      </c>
      <c r="P7" s="13" t="s">
        <v>42</v>
      </c>
    </row>
    <row r="8" customFormat="false" ht="15" hidden="false" customHeight="false" outlineLevel="0" collapsed="false">
      <c r="A8" s="7" t="s">
        <v>70</v>
      </c>
      <c r="B8" s="8" t="s">
        <v>71</v>
      </c>
      <c r="C8" s="8" t="s">
        <v>72</v>
      </c>
      <c r="D8" s="8" t="s">
        <v>52</v>
      </c>
      <c r="E8" s="8" t="s">
        <v>73</v>
      </c>
      <c r="F8" s="8" t="s">
        <v>74</v>
      </c>
      <c r="G8" s="7" t="n">
        <v>2021</v>
      </c>
      <c r="H8" s="9" t="n">
        <v>1979571000</v>
      </c>
      <c r="I8" s="9" t="n">
        <v>2640747000</v>
      </c>
      <c r="J8" s="10" t="n">
        <v>661176000</v>
      </c>
      <c r="K8" s="11" t="n">
        <v>47</v>
      </c>
      <c r="L8" s="11" t="n">
        <v>54</v>
      </c>
      <c r="M8" s="11" t="n">
        <v>7</v>
      </c>
      <c r="N8" s="12" t="n">
        <v>71</v>
      </c>
      <c r="O8" s="8" t="s">
        <v>41</v>
      </c>
      <c r="P8" s="13" t="s">
        <v>42</v>
      </c>
    </row>
    <row r="9" customFormat="false" ht="15" hidden="false" customHeight="false" outlineLevel="0" collapsed="false">
      <c r="A9" s="14" t="s">
        <v>75</v>
      </c>
      <c r="B9" s="15" t="s">
        <v>76</v>
      </c>
      <c r="C9" s="15" t="s">
        <v>51</v>
      </c>
      <c r="D9" s="15" t="s">
        <v>77</v>
      </c>
      <c r="E9" s="15" t="s">
        <v>53</v>
      </c>
      <c r="F9" s="15" t="s">
        <v>54</v>
      </c>
      <c r="G9" s="14" t="n">
        <v>2019</v>
      </c>
      <c r="H9" s="16" t="n">
        <v>461417000</v>
      </c>
      <c r="I9" s="16" t="n">
        <v>699391000</v>
      </c>
      <c r="J9" s="10" t="n">
        <v>237974000</v>
      </c>
      <c r="K9" s="17" t="n">
        <v>32</v>
      </c>
      <c r="L9" s="17" t="n">
        <v>37</v>
      </c>
      <c r="M9" s="17" t="n">
        <v>5</v>
      </c>
      <c r="N9" s="18" t="n">
        <v>93</v>
      </c>
      <c r="O9" s="15" t="s">
        <v>78</v>
      </c>
      <c r="P9" s="13" t="s">
        <v>42</v>
      </c>
    </row>
    <row r="10" customFormat="false" ht="15" hidden="false" customHeight="false" outlineLevel="0" collapsed="false">
      <c r="A10" s="7" t="s">
        <v>79</v>
      </c>
      <c r="B10" s="8" t="s">
        <v>80</v>
      </c>
      <c r="C10" s="8" t="s">
        <v>81</v>
      </c>
      <c r="D10" s="8" t="s">
        <v>52</v>
      </c>
      <c r="E10" s="8" t="s">
        <v>39</v>
      </c>
      <c r="F10" s="8" t="s">
        <v>40</v>
      </c>
      <c r="G10" s="7" t="n">
        <v>2020</v>
      </c>
      <c r="H10" s="9" t="n">
        <v>1502729000</v>
      </c>
      <c r="I10" s="9" t="n">
        <v>1913555000</v>
      </c>
      <c r="J10" s="10" t="n">
        <v>410826000</v>
      </c>
      <c r="K10" s="11" t="n">
        <v>39</v>
      </c>
      <c r="L10" s="11" t="n">
        <v>64</v>
      </c>
      <c r="M10" s="11" t="n">
        <v>25</v>
      </c>
      <c r="N10" s="12" t="n">
        <v>81</v>
      </c>
      <c r="O10" s="8" t="s">
        <v>82</v>
      </c>
      <c r="P10" s="13" t="s">
        <v>42</v>
      </c>
    </row>
    <row r="11" customFormat="false" ht="15" hidden="false" customHeight="false" outlineLevel="0" collapsed="false">
      <c r="A11" s="14" t="s">
        <v>83</v>
      </c>
      <c r="B11" s="15" t="s">
        <v>84</v>
      </c>
      <c r="C11" s="15" t="s">
        <v>85</v>
      </c>
      <c r="D11" s="15" t="s">
        <v>86</v>
      </c>
      <c r="E11" s="15" t="s">
        <v>73</v>
      </c>
      <c r="F11" s="15" t="s">
        <v>60</v>
      </c>
      <c r="G11" s="14" t="n">
        <v>2019</v>
      </c>
      <c r="H11" s="16" t="n">
        <v>1729151000</v>
      </c>
      <c r="I11" s="16" t="n">
        <v>1801265000</v>
      </c>
      <c r="J11" s="10" t="n">
        <v>72114000</v>
      </c>
      <c r="K11" s="17" t="n">
        <v>22</v>
      </c>
      <c r="L11" s="17" t="n">
        <v>34</v>
      </c>
      <c r="M11" s="17" t="n">
        <v>12</v>
      </c>
      <c r="N11" s="18" t="n">
        <v>84</v>
      </c>
      <c r="O11" s="15" t="s">
        <v>48</v>
      </c>
      <c r="P11" s="13" t="s">
        <v>42</v>
      </c>
    </row>
    <row r="12" customFormat="false" ht="15" hidden="false" customHeight="false" outlineLevel="0" collapsed="false">
      <c r="A12" s="7" t="s">
        <v>87</v>
      </c>
      <c r="B12" s="8" t="s">
        <v>88</v>
      </c>
      <c r="C12" s="8" t="s">
        <v>89</v>
      </c>
      <c r="D12" s="8" t="s">
        <v>90</v>
      </c>
      <c r="E12" s="8" t="s">
        <v>91</v>
      </c>
      <c r="F12" s="8" t="s">
        <v>74</v>
      </c>
      <c r="G12" s="7" t="n">
        <v>2023</v>
      </c>
      <c r="H12" s="9" t="n">
        <v>540258000</v>
      </c>
      <c r="I12" s="9" t="n">
        <v>692576000</v>
      </c>
      <c r="J12" s="10" t="n">
        <v>152318000</v>
      </c>
      <c r="K12" s="11" t="n">
        <v>12</v>
      </c>
      <c r="L12" s="11" t="n">
        <v>18</v>
      </c>
      <c r="M12" s="11" t="n">
        <v>6</v>
      </c>
      <c r="N12" s="12" t="n">
        <v>44</v>
      </c>
      <c r="O12" s="8" t="s">
        <v>69</v>
      </c>
      <c r="P12" s="19" t="s">
        <v>92</v>
      </c>
    </row>
    <row r="13" customFormat="false" ht="15" hidden="false" customHeight="false" outlineLevel="0" collapsed="false">
      <c r="A13" s="14" t="s">
        <v>93</v>
      </c>
      <c r="B13" s="15" t="s">
        <v>94</v>
      </c>
      <c r="C13" s="15" t="s">
        <v>58</v>
      </c>
      <c r="D13" s="15" t="s">
        <v>95</v>
      </c>
      <c r="E13" s="15" t="s">
        <v>39</v>
      </c>
      <c r="F13" s="15" t="s">
        <v>74</v>
      </c>
      <c r="G13" s="14" t="n">
        <v>2020</v>
      </c>
      <c r="H13" s="16" t="n">
        <v>934761000</v>
      </c>
      <c r="I13" s="16" t="n">
        <v>1422977000</v>
      </c>
      <c r="J13" s="10" t="n">
        <v>488216000</v>
      </c>
      <c r="K13" s="17" t="n">
        <v>28</v>
      </c>
      <c r="L13" s="17" t="n">
        <v>47</v>
      </c>
      <c r="M13" s="17" t="n">
        <v>19</v>
      </c>
      <c r="N13" s="18" t="n">
        <v>52</v>
      </c>
      <c r="O13" s="15" t="s">
        <v>69</v>
      </c>
      <c r="P13" s="13" t="s">
        <v>42</v>
      </c>
    </row>
    <row r="14" customFormat="false" ht="15" hidden="false" customHeight="false" outlineLevel="0" collapsed="false">
      <c r="A14" s="7" t="s">
        <v>96</v>
      </c>
      <c r="B14" s="8" t="s">
        <v>97</v>
      </c>
      <c r="C14" s="8" t="s">
        <v>98</v>
      </c>
      <c r="D14" s="8" t="s">
        <v>86</v>
      </c>
      <c r="E14" s="8" t="s">
        <v>91</v>
      </c>
      <c r="F14" s="8" t="s">
        <v>40</v>
      </c>
      <c r="G14" s="7" t="n">
        <v>2020</v>
      </c>
      <c r="H14" s="9" t="n">
        <v>779132000</v>
      </c>
      <c r="I14" s="9" t="n">
        <v>815696000</v>
      </c>
      <c r="J14" s="10" t="n">
        <v>36564000</v>
      </c>
      <c r="K14" s="11" t="n">
        <v>45</v>
      </c>
      <c r="L14" s="11" t="n">
        <v>74</v>
      </c>
      <c r="M14" s="11" t="n">
        <v>29</v>
      </c>
      <c r="N14" s="12" t="n">
        <v>71</v>
      </c>
      <c r="O14" s="8" t="s">
        <v>99</v>
      </c>
      <c r="P14" s="13" t="s">
        <v>42</v>
      </c>
    </row>
    <row r="15" customFormat="false" ht="15" hidden="false" customHeight="false" outlineLevel="0" collapsed="false">
      <c r="A15" s="14" t="s">
        <v>100</v>
      </c>
      <c r="B15" s="15" t="s">
        <v>101</v>
      </c>
      <c r="C15" s="15" t="s">
        <v>37</v>
      </c>
      <c r="D15" s="15" t="s">
        <v>77</v>
      </c>
      <c r="E15" s="15" t="s">
        <v>39</v>
      </c>
      <c r="F15" s="15" t="s">
        <v>40</v>
      </c>
      <c r="G15" s="14" t="n">
        <v>2019</v>
      </c>
      <c r="H15" s="16" t="n">
        <v>519700000</v>
      </c>
      <c r="I15" s="16" t="n">
        <v>670628000</v>
      </c>
      <c r="J15" s="10" t="n">
        <v>150928000</v>
      </c>
      <c r="K15" s="17" t="n">
        <v>17</v>
      </c>
      <c r="L15" s="17" t="n">
        <v>18</v>
      </c>
      <c r="M15" s="17" t="n">
        <v>1</v>
      </c>
      <c r="N15" s="18" t="n">
        <v>92</v>
      </c>
      <c r="O15" s="15" t="s">
        <v>55</v>
      </c>
      <c r="P15" s="13" t="s">
        <v>42</v>
      </c>
    </row>
    <row r="16" customFormat="false" ht="15" hidden="false" customHeight="false" outlineLevel="0" collapsed="false">
      <c r="A16" s="7" t="s">
        <v>102</v>
      </c>
      <c r="B16" s="8" t="s">
        <v>103</v>
      </c>
      <c r="C16" s="8" t="s">
        <v>85</v>
      </c>
      <c r="D16" s="8" t="s">
        <v>52</v>
      </c>
      <c r="E16" s="8" t="s">
        <v>73</v>
      </c>
      <c r="F16" s="8" t="s">
        <v>47</v>
      </c>
      <c r="G16" s="7" t="n">
        <v>2020</v>
      </c>
      <c r="H16" s="9" t="n">
        <v>566860000</v>
      </c>
      <c r="I16" s="9" t="n">
        <v>835245000</v>
      </c>
      <c r="J16" s="10" t="n">
        <v>268385000</v>
      </c>
      <c r="K16" s="11" t="n">
        <v>39</v>
      </c>
      <c r="L16" s="11" t="n">
        <v>65</v>
      </c>
      <c r="M16" s="11" t="n">
        <v>26</v>
      </c>
      <c r="N16" s="12" t="n">
        <v>99</v>
      </c>
      <c r="O16" s="8" t="s">
        <v>104</v>
      </c>
      <c r="P16" s="13" t="s">
        <v>42</v>
      </c>
    </row>
    <row r="17" customFormat="false" ht="15" hidden="false" customHeight="false" outlineLevel="0" collapsed="false">
      <c r="A17" s="14" t="s">
        <v>105</v>
      </c>
      <c r="B17" s="15" t="s">
        <v>106</v>
      </c>
      <c r="C17" s="15" t="s">
        <v>98</v>
      </c>
      <c r="D17" s="15" t="s">
        <v>90</v>
      </c>
      <c r="E17" s="15" t="s">
        <v>68</v>
      </c>
      <c r="F17" s="15" t="s">
        <v>74</v>
      </c>
      <c r="G17" s="14" t="n">
        <v>2023</v>
      </c>
      <c r="H17" s="16" t="n">
        <v>930398000</v>
      </c>
      <c r="I17" s="16" t="n">
        <v>1022269000</v>
      </c>
      <c r="J17" s="10" t="n">
        <v>91871000</v>
      </c>
      <c r="K17" s="17" t="n">
        <v>16</v>
      </c>
      <c r="L17" s="17" t="n">
        <v>20</v>
      </c>
      <c r="M17" s="17" t="n">
        <v>4</v>
      </c>
      <c r="N17" s="18" t="n">
        <v>100</v>
      </c>
      <c r="O17" s="15" t="s">
        <v>104</v>
      </c>
      <c r="P17" s="20" t="s">
        <v>107</v>
      </c>
    </row>
    <row r="18" customFormat="false" ht="15" hidden="false" customHeight="false" outlineLevel="0" collapsed="false">
      <c r="A18" s="7" t="s">
        <v>108</v>
      </c>
      <c r="B18" s="8" t="s">
        <v>109</v>
      </c>
      <c r="C18" s="8" t="s">
        <v>72</v>
      </c>
      <c r="D18" s="8" t="s">
        <v>38</v>
      </c>
      <c r="E18" s="8" t="s">
        <v>64</v>
      </c>
      <c r="F18" s="8" t="s">
        <v>60</v>
      </c>
      <c r="G18" s="7" t="n">
        <v>2020</v>
      </c>
      <c r="H18" s="9" t="n">
        <v>181431000</v>
      </c>
      <c r="I18" s="9" t="n">
        <v>175779000</v>
      </c>
      <c r="J18" s="9" t="n">
        <v>-5652000</v>
      </c>
      <c r="K18" s="11" t="n">
        <v>33</v>
      </c>
      <c r="L18" s="11" t="n">
        <v>35</v>
      </c>
      <c r="M18" s="11" t="n">
        <v>2</v>
      </c>
      <c r="N18" s="12" t="n">
        <v>60</v>
      </c>
      <c r="O18" s="8" t="s">
        <v>65</v>
      </c>
      <c r="P18" s="13" t="s">
        <v>42</v>
      </c>
    </row>
    <row r="19" customFormat="false" ht="15" hidden="false" customHeight="false" outlineLevel="0" collapsed="false">
      <c r="A19" s="14" t="s">
        <v>110</v>
      </c>
      <c r="B19" s="15" t="s">
        <v>111</v>
      </c>
      <c r="C19" s="15" t="s">
        <v>81</v>
      </c>
      <c r="D19" s="15" t="s">
        <v>45</v>
      </c>
      <c r="E19" s="15" t="s">
        <v>112</v>
      </c>
      <c r="F19" s="15" t="s">
        <v>40</v>
      </c>
      <c r="G19" s="14" t="n">
        <v>2023</v>
      </c>
      <c r="H19" s="16" t="n">
        <v>1173613000</v>
      </c>
      <c r="I19" s="16" t="n">
        <v>1286043000</v>
      </c>
      <c r="J19" s="10" t="n">
        <v>112430000</v>
      </c>
      <c r="K19" s="17" t="n">
        <v>42</v>
      </c>
      <c r="L19" s="17" t="n">
        <v>66</v>
      </c>
      <c r="M19" s="17" t="n">
        <v>24</v>
      </c>
      <c r="N19" s="18" t="n">
        <v>54</v>
      </c>
      <c r="O19" s="15" t="s">
        <v>55</v>
      </c>
      <c r="P19" s="13" t="s">
        <v>42</v>
      </c>
    </row>
    <row r="20" customFormat="false" ht="15" hidden="false" customHeight="false" outlineLevel="0" collapsed="false">
      <c r="A20" s="7" t="s">
        <v>113</v>
      </c>
      <c r="B20" s="8" t="s">
        <v>114</v>
      </c>
      <c r="C20" s="8" t="s">
        <v>89</v>
      </c>
      <c r="D20" s="8" t="s">
        <v>77</v>
      </c>
      <c r="E20" s="8" t="s">
        <v>53</v>
      </c>
      <c r="F20" s="8" t="s">
        <v>74</v>
      </c>
      <c r="G20" s="7" t="n">
        <v>2022</v>
      </c>
      <c r="H20" s="9" t="n">
        <v>1734482000</v>
      </c>
      <c r="I20" s="9" t="n">
        <v>1704133000</v>
      </c>
      <c r="J20" s="9" t="n">
        <v>-30349000</v>
      </c>
      <c r="K20" s="11" t="n">
        <v>18</v>
      </c>
      <c r="L20" s="11" t="n">
        <v>19</v>
      </c>
      <c r="M20" s="11" t="n">
        <v>1</v>
      </c>
      <c r="N20" s="12" t="n">
        <v>73</v>
      </c>
      <c r="O20" s="8" t="s">
        <v>55</v>
      </c>
      <c r="P20" s="13" t="s">
        <v>42</v>
      </c>
    </row>
    <row r="21" customFormat="false" ht="15" hidden="false" customHeight="false" outlineLevel="0" collapsed="false">
      <c r="A21" s="14" t="s">
        <v>115</v>
      </c>
      <c r="B21" s="15" t="s">
        <v>116</v>
      </c>
      <c r="C21" s="15" t="s">
        <v>72</v>
      </c>
      <c r="D21" s="15" t="s">
        <v>45</v>
      </c>
      <c r="E21" s="15" t="s">
        <v>112</v>
      </c>
      <c r="F21" s="15" t="s">
        <v>74</v>
      </c>
      <c r="G21" s="14" t="n">
        <v>2020</v>
      </c>
      <c r="H21" s="16" t="n">
        <v>872669000</v>
      </c>
      <c r="I21" s="16" t="n">
        <v>974882000</v>
      </c>
      <c r="J21" s="10" t="n">
        <v>102213000</v>
      </c>
      <c r="K21" s="17" t="n">
        <v>27</v>
      </c>
      <c r="L21" s="17" t="n">
        <v>44</v>
      </c>
      <c r="M21" s="17" t="n">
        <v>17</v>
      </c>
      <c r="N21" s="18" t="n">
        <v>39</v>
      </c>
      <c r="O21" s="15" t="s">
        <v>99</v>
      </c>
      <c r="P21" s="19" t="s">
        <v>92</v>
      </c>
    </row>
    <row r="22" customFormat="false" ht="15" hidden="false" customHeight="false" outlineLevel="0" collapsed="false">
      <c r="A22" s="7" t="s">
        <v>117</v>
      </c>
      <c r="B22" s="8" t="s">
        <v>118</v>
      </c>
      <c r="C22" s="8" t="s">
        <v>37</v>
      </c>
      <c r="D22" s="8" t="s">
        <v>38</v>
      </c>
      <c r="E22" s="8" t="s">
        <v>112</v>
      </c>
      <c r="F22" s="8" t="s">
        <v>60</v>
      </c>
      <c r="G22" s="7" t="n">
        <v>2019</v>
      </c>
      <c r="H22" s="9" t="n">
        <v>1856416000</v>
      </c>
      <c r="I22" s="9" t="n">
        <v>2708915000</v>
      </c>
      <c r="J22" s="10" t="n">
        <v>852499000</v>
      </c>
      <c r="K22" s="11" t="n">
        <v>22</v>
      </c>
      <c r="L22" s="11" t="n">
        <v>28</v>
      </c>
      <c r="M22" s="11" t="n">
        <v>6</v>
      </c>
      <c r="N22" s="12" t="n">
        <v>91</v>
      </c>
      <c r="O22" s="8" t="s">
        <v>104</v>
      </c>
      <c r="P22" s="13" t="s">
        <v>42</v>
      </c>
    </row>
    <row r="23" customFormat="false" ht="15" hidden="false" customHeight="false" outlineLevel="0" collapsed="false">
      <c r="A23" s="14" t="s">
        <v>119</v>
      </c>
      <c r="B23" s="15" t="s">
        <v>120</v>
      </c>
      <c r="C23" s="15" t="s">
        <v>51</v>
      </c>
      <c r="D23" s="15" t="s">
        <v>52</v>
      </c>
      <c r="E23" s="15" t="s">
        <v>53</v>
      </c>
      <c r="F23" s="15" t="s">
        <v>60</v>
      </c>
      <c r="G23" s="14" t="n">
        <v>2022</v>
      </c>
      <c r="H23" s="16" t="n">
        <v>567146000</v>
      </c>
      <c r="I23" s="16" t="n">
        <v>805598000</v>
      </c>
      <c r="J23" s="10" t="n">
        <v>238452000</v>
      </c>
      <c r="K23" s="17" t="n">
        <v>41</v>
      </c>
      <c r="L23" s="17" t="n">
        <v>49</v>
      </c>
      <c r="M23" s="17" t="n">
        <v>8</v>
      </c>
      <c r="N23" s="18" t="n">
        <v>92</v>
      </c>
      <c r="O23" s="15" t="s">
        <v>121</v>
      </c>
      <c r="P23" s="13" t="s">
        <v>42</v>
      </c>
    </row>
    <row r="24" customFormat="false" ht="15" hidden="false" customHeight="false" outlineLevel="0" collapsed="false">
      <c r="A24" s="7" t="s">
        <v>122</v>
      </c>
      <c r="B24" s="8" t="s">
        <v>123</v>
      </c>
      <c r="C24" s="8" t="s">
        <v>98</v>
      </c>
      <c r="D24" s="8" t="s">
        <v>45</v>
      </c>
      <c r="E24" s="8" t="s">
        <v>124</v>
      </c>
      <c r="F24" s="8" t="s">
        <v>47</v>
      </c>
      <c r="G24" s="7" t="n">
        <v>2023</v>
      </c>
      <c r="H24" s="9" t="n">
        <v>168867000</v>
      </c>
      <c r="I24" s="9" t="n">
        <v>192198000</v>
      </c>
      <c r="J24" s="10" t="n">
        <v>23331000</v>
      </c>
      <c r="K24" s="11" t="n">
        <v>15</v>
      </c>
      <c r="L24" s="11" t="n">
        <v>21</v>
      </c>
      <c r="M24" s="11" t="n">
        <v>6</v>
      </c>
      <c r="N24" s="12" t="n">
        <v>94</v>
      </c>
      <c r="O24" s="8" t="s">
        <v>69</v>
      </c>
      <c r="P24" s="13" t="s">
        <v>42</v>
      </c>
    </row>
    <row r="25" customFormat="false" ht="15" hidden="false" customHeight="false" outlineLevel="0" collapsed="false">
      <c r="A25" s="14" t="s">
        <v>125</v>
      </c>
      <c r="B25" s="15" t="s">
        <v>126</v>
      </c>
      <c r="C25" s="15" t="s">
        <v>51</v>
      </c>
      <c r="D25" s="15" t="s">
        <v>86</v>
      </c>
      <c r="E25" s="15" t="s">
        <v>64</v>
      </c>
      <c r="F25" s="15" t="s">
        <v>40</v>
      </c>
      <c r="G25" s="14" t="n">
        <v>2019</v>
      </c>
      <c r="H25" s="16" t="n">
        <v>1210318000</v>
      </c>
      <c r="I25" s="16" t="n">
        <v>1640135000</v>
      </c>
      <c r="J25" s="10" t="n">
        <v>429817000</v>
      </c>
      <c r="K25" s="17" t="n">
        <v>27</v>
      </c>
      <c r="L25" s="17" t="n">
        <v>35</v>
      </c>
      <c r="M25" s="17" t="n">
        <v>8</v>
      </c>
      <c r="N25" s="18" t="n">
        <v>61</v>
      </c>
      <c r="O25" s="15" t="s">
        <v>48</v>
      </c>
      <c r="P25" s="13" t="s">
        <v>42</v>
      </c>
    </row>
    <row r="26" customFormat="false" ht="15" hidden="false" customHeight="false" outlineLevel="0" collapsed="false">
      <c r="A26" s="7" t="s">
        <v>127</v>
      </c>
      <c r="B26" s="8" t="s">
        <v>128</v>
      </c>
      <c r="C26" s="8" t="s">
        <v>51</v>
      </c>
      <c r="D26" s="8" t="s">
        <v>59</v>
      </c>
      <c r="E26" s="8" t="s">
        <v>64</v>
      </c>
      <c r="F26" s="8" t="s">
        <v>74</v>
      </c>
      <c r="G26" s="7" t="n">
        <v>2023</v>
      </c>
      <c r="H26" s="9" t="n">
        <v>1152193000</v>
      </c>
      <c r="I26" s="9" t="n">
        <v>1313295000</v>
      </c>
      <c r="J26" s="10" t="n">
        <v>161102000</v>
      </c>
      <c r="K26" s="11" t="n">
        <v>28</v>
      </c>
      <c r="L26" s="11" t="n">
        <v>32</v>
      </c>
      <c r="M26" s="11" t="n">
        <v>4</v>
      </c>
      <c r="N26" s="12" t="n">
        <v>70</v>
      </c>
      <c r="O26" s="8" t="s">
        <v>104</v>
      </c>
      <c r="P26" s="13" t="s">
        <v>42</v>
      </c>
    </row>
    <row r="27" customFormat="false" ht="15" hidden="false" customHeight="false" outlineLevel="0" collapsed="false">
      <c r="A27" s="14" t="s">
        <v>129</v>
      </c>
      <c r="B27" s="15" t="s">
        <v>130</v>
      </c>
      <c r="C27" s="15" t="s">
        <v>89</v>
      </c>
      <c r="D27" s="15" t="s">
        <v>52</v>
      </c>
      <c r="E27" s="15" t="s">
        <v>39</v>
      </c>
      <c r="F27" s="15" t="s">
        <v>74</v>
      </c>
      <c r="G27" s="14" t="n">
        <v>2021</v>
      </c>
      <c r="H27" s="16" t="n">
        <v>1861586000</v>
      </c>
      <c r="I27" s="16" t="n">
        <v>2813677000</v>
      </c>
      <c r="J27" s="10" t="n">
        <v>952091000</v>
      </c>
      <c r="K27" s="17" t="n">
        <v>12</v>
      </c>
      <c r="L27" s="17" t="n">
        <v>16</v>
      </c>
      <c r="M27" s="17" t="n">
        <v>4</v>
      </c>
      <c r="N27" s="18" t="n">
        <v>42</v>
      </c>
      <c r="O27" s="15" t="s">
        <v>55</v>
      </c>
      <c r="P27" s="19" t="s">
        <v>92</v>
      </c>
    </row>
    <row r="28" customFormat="false" ht="15" hidden="false" customHeight="false" outlineLevel="0" collapsed="false">
      <c r="A28" s="7" t="s">
        <v>131</v>
      </c>
      <c r="B28" s="8" t="s">
        <v>132</v>
      </c>
      <c r="C28" s="8" t="s">
        <v>72</v>
      </c>
      <c r="D28" s="8" t="s">
        <v>86</v>
      </c>
      <c r="E28" s="8" t="s">
        <v>39</v>
      </c>
      <c r="F28" s="8" t="s">
        <v>40</v>
      </c>
      <c r="G28" s="7" t="n">
        <v>2021</v>
      </c>
      <c r="H28" s="9" t="n">
        <v>1767685000</v>
      </c>
      <c r="I28" s="9" t="n">
        <v>2611864000</v>
      </c>
      <c r="J28" s="10" t="n">
        <v>844179000</v>
      </c>
      <c r="K28" s="11" t="n">
        <v>35</v>
      </c>
      <c r="L28" s="11" t="n">
        <v>42</v>
      </c>
      <c r="M28" s="11" t="n">
        <v>7</v>
      </c>
      <c r="N28" s="12" t="n">
        <v>86</v>
      </c>
      <c r="O28" s="8" t="s">
        <v>69</v>
      </c>
      <c r="P28" s="13" t="s">
        <v>42</v>
      </c>
    </row>
    <row r="29" customFormat="false" ht="15" hidden="false" customHeight="false" outlineLevel="0" collapsed="false">
      <c r="A29" s="14" t="s">
        <v>133</v>
      </c>
      <c r="B29" s="15" t="s">
        <v>134</v>
      </c>
      <c r="C29" s="15" t="s">
        <v>98</v>
      </c>
      <c r="D29" s="15" t="s">
        <v>59</v>
      </c>
      <c r="E29" s="15" t="s">
        <v>112</v>
      </c>
      <c r="F29" s="15" t="s">
        <v>60</v>
      </c>
      <c r="G29" s="14" t="n">
        <v>2023</v>
      </c>
      <c r="H29" s="16" t="n">
        <v>633789000</v>
      </c>
      <c r="I29" s="16" t="n">
        <v>854369000</v>
      </c>
      <c r="J29" s="10" t="n">
        <v>220580000</v>
      </c>
      <c r="K29" s="17" t="n">
        <v>20</v>
      </c>
      <c r="L29" s="17" t="n">
        <v>24</v>
      </c>
      <c r="M29" s="17" t="n">
        <v>4</v>
      </c>
      <c r="N29" s="18" t="n">
        <v>43</v>
      </c>
      <c r="O29" s="15" t="s">
        <v>69</v>
      </c>
      <c r="P29" s="19" t="s">
        <v>92</v>
      </c>
    </row>
    <row r="30" customFormat="false" ht="15" hidden="false" customHeight="false" outlineLevel="0" collapsed="false">
      <c r="A30" s="7" t="s">
        <v>135</v>
      </c>
      <c r="B30" s="8" t="s">
        <v>136</v>
      </c>
      <c r="C30" s="8" t="s">
        <v>98</v>
      </c>
      <c r="D30" s="8" t="s">
        <v>137</v>
      </c>
      <c r="E30" s="8" t="s">
        <v>91</v>
      </c>
      <c r="F30" s="8" t="s">
        <v>40</v>
      </c>
      <c r="G30" s="7" t="n">
        <v>2021</v>
      </c>
      <c r="H30" s="9" t="n">
        <v>447015000</v>
      </c>
      <c r="I30" s="9" t="n">
        <v>594773000</v>
      </c>
      <c r="J30" s="10" t="n">
        <v>147758000</v>
      </c>
      <c r="K30" s="11" t="n">
        <v>28</v>
      </c>
      <c r="L30" s="11" t="n">
        <v>38</v>
      </c>
      <c r="M30" s="11" t="n">
        <v>10</v>
      </c>
      <c r="N30" s="12" t="n">
        <v>62</v>
      </c>
      <c r="O30" s="8" t="s">
        <v>41</v>
      </c>
      <c r="P30" s="13" t="s">
        <v>42</v>
      </c>
    </row>
    <row r="31" customFormat="false" ht="15" hidden="false" customHeight="false" outlineLevel="0" collapsed="false">
      <c r="A31" s="14" t="s">
        <v>138</v>
      </c>
      <c r="B31" s="15" t="s">
        <v>139</v>
      </c>
      <c r="C31" s="15" t="s">
        <v>89</v>
      </c>
      <c r="D31" s="15" t="s">
        <v>137</v>
      </c>
      <c r="E31" s="15" t="s">
        <v>124</v>
      </c>
      <c r="F31" s="15" t="s">
        <v>60</v>
      </c>
      <c r="G31" s="14" t="n">
        <v>2021</v>
      </c>
      <c r="H31" s="16" t="n">
        <v>1553682000</v>
      </c>
      <c r="I31" s="16" t="n">
        <v>2069921000</v>
      </c>
      <c r="J31" s="10" t="n">
        <v>516239000</v>
      </c>
      <c r="K31" s="17" t="n">
        <v>28</v>
      </c>
      <c r="L31" s="17" t="n">
        <v>31</v>
      </c>
      <c r="M31" s="17" t="n">
        <v>3</v>
      </c>
      <c r="N31" s="18" t="n">
        <v>86</v>
      </c>
      <c r="O31" s="15" t="s">
        <v>69</v>
      </c>
      <c r="P31" s="13" t="s">
        <v>42</v>
      </c>
    </row>
    <row r="32" customFormat="false" ht="15" hidden="false" customHeight="false" outlineLevel="0" collapsed="false">
      <c r="A32" s="7" t="s">
        <v>140</v>
      </c>
      <c r="B32" s="8" t="s">
        <v>141</v>
      </c>
      <c r="C32" s="8" t="s">
        <v>89</v>
      </c>
      <c r="D32" s="8" t="s">
        <v>86</v>
      </c>
      <c r="E32" s="8" t="s">
        <v>124</v>
      </c>
      <c r="F32" s="8" t="s">
        <v>60</v>
      </c>
      <c r="G32" s="7" t="n">
        <v>2019</v>
      </c>
      <c r="H32" s="9" t="n">
        <v>1892849000</v>
      </c>
      <c r="I32" s="9" t="n">
        <v>2583004000</v>
      </c>
      <c r="J32" s="10" t="n">
        <v>690155000</v>
      </c>
      <c r="K32" s="11" t="n">
        <v>21</v>
      </c>
      <c r="L32" s="11" t="n">
        <v>29</v>
      </c>
      <c r="M32" s="11" t="n">
        <v>8</v>
      </c>
      <c r="N32" s="12" t="n">
        <v>77</v>
      </c>
      <c r="O32" s="8" t="s">
        <v>48</v>
      </c>
      <c r="P32" s="13" t="s">
        <v>42</v>
      </c>
    </row>
    <row r="33" customFormat="false" ht="15" hidden="false" customHeight="false" outlineLevel="0" collapsed="false">
      <c r="A33" s="14" t="s">
        <v>142</v>
      </c>
      <c r="B33" s="15" t="s">
        <v>143</v>
      </c>
      <c r="C33" s="15" t="s">
        <v>85</v>
      </c>
      <c r="D33" s="15" t="s">
        <v>90</v>
      </c>
      <c r="E33" s="15" t="s">
        <v>144</v>
      </c>
      <c r="F33" s="15" t="s">
        <v>60</v>
      </c>
      <c r="G33" s="14" t="n">
        <v>2021</v>
      </c>
      <c r="H33" s="16" t="n">
        <v>761070000</v>
      </c>
      <c r="I33" s="16" t="n">
        <v>1149104000</v>
      </c>
      <c r="J33" s="10" t="n">
        <v>388034000</v>
      </c>
      <c r="K33" s="17" t="n">
        <v>14</v>
      </c>
      <c r="L33" s="17" t="n">
        <v>23</v>
      </c>
      <c r="M33" s="17" t="n">
        <v>9</v>
      </c>
      <c r="N33" s="18" t="n">
        <v>56</v>
      </c>
      <c r="O33" s="15" t="s">
        <v>104</v>
      </c>
      <c r="P33" s="13" t="s">
        <v>42</v>
      </c>
    </row>
    <row r="34" customFormat="false" ht="15" hidden="false" customHeight="false" outlineLevel="0" collapsed="false">
      <c r="A34" s="7" t="s">
        <v>145</v>
      </c>
      <c r="B34" s="8" t="s">
        <v>146</v>
      </c>
      <c r="C34" s="8" t="s">
        <v>37</v>
      </c>
      <c r="D34" s="8" t="s">
        <v>77</v>
      </c>
      <c r="E34" s="8" t="s">
        <v>112</v>
      </c>
      <c r="F34" s="8" t="s">
        <v>74</v>
      </c>
      <c r="G34" s="7" t="n">
        <v>2023</v>
      </c>
      <c r="H34" s="9" t="n">
        <v>1511481000</v>
      </c>
      <c r="I34" s="9" t="n">
        <v>2275472000</v>
      </c>
      <c r="J34" s="10" t="n">
        <v>763991000</v>
      </c>
      <c r="K34" s="11" t="n">
        <v>27</v>
      </c>
      <c r="L34" s="11" t="n">
        <v>43</v>
      </c>
      <c r="M34" s="11" t="n">
        <v>16</v>
      </c>
      <c r="N34" s="12" t="n">
        <v>52</v>
      </c>
      <c r="O34" s="8" t="s">
        <v>78</v>
      </c>
      <c r="P34" s="13" t="s">
        <v>42</v>
      </c>
    </row>
    <row r="35" customFormat="false" ht="15" hidden="false" customHeight="false" outlineLevel="0" collapsed="false">
      <c r="A35" s="14" t="s">
        <v>147</v>
      </c>
      <c r="B35" s="15" t="s">
        <v>148</v>
      </c>
      <c r="C35" s="15" t="s">
        <v>85</v>
      </c>
      <c r="D35" s="15" t="s">
        <v>77</v>
      </c>
      <c r="E35" s="15" t="s">
        <v>53</v>
      </c>
      <c r="F35" s="15" t="s">
        <v>40</v>
      </c>
      <c r="G35" s="14" t="n">
        <v>2021</v>
      </c>
      <c r="H35" s="16" t="n">
        <v>360436000</v>
      </c>
      <c r="I35" s="16" t="n">
        <v>494074000</v>
      </c>
      <c r="J35" s="10" t="n">
        <v>133638000</v>
      </c>
      <c r="K35" s="17" t="n">
        <v>36</v>
      </c>
      <c r="L35" s="17" t="n">
        <v>58</v>
      </c>
      <c r="M35" s="17" t="n">
        <v>22</v>
      </c>
      <c r="N35" s="18" t="n">
        <v>90</v>
      </c>
      <c r="O35" s="15" t="s">
        <v>104</v>
      </c>
      <c r="P35" s="13" t="s">
        <v>42</v>
      </c>
    </row>
    <row r="36" customFormat="false" ht="15" hidden="false" customHeight="false" outlineLevel="0" collapsed="false">
      <c r="A36" s="7" t="s">
        <v>149</v>
      </c>
      <c r="B36" s="8" t="s">
        <v>150</v>
      </c>
      <c r="C36" s="8" t="s">
        <v>81</v>
      </c>
      <c r="D36" s="8" t="s">
        <v>77</v>
      </c>
      <c r="E36" s="8" t="s">
        <v>39</v>
      </c>
      <c r="F36" s="8" t="s">
        <v>40</v>
      </c>
      <c r="G36" s="7" t="n">
        <v>2020</v>
      </c>
      <c r="H36" s="9" t="n">
        <v>96146000</v>
      </c>
      <c r="I36" s="9" t="n">
        <v>102480000</v>
      </c>
      <c r="J36" s="10" t="n">
        <v>6334000</v>
      </c>
      <c r="K36" s="11" t="n">
        <v>33</v>
      </c>
      <c r="L36" s="11" t="n">
        <v>39</v>
      </c>
      <c r="M36" s="11" t="n">
        <v>6</v>
      </c>
      <c r="N36" s="12" t="n">
        <v>38</v>
      </c>
      <c r="O36" s="8" t="s">
        <v>65</v>
      </c>
      <c r="P36" s="19" t="s">
        <v>92</v>
      </c>
    </row>
    <row r="37" customFormat="false" ht="15" hidden="false" customHeight="false" outlineLevel="0" collapsed="false">
      <c r="A37" s="14" t="s">
        <v>151</v>
      </c>
      <c r="B37" s="15" t="s">
        <v>152</v>
      </c>
      <c r="C37" s="15" t="s">
        <v>153</v>
      </c>
      <c r="D37" s="15" t="s">
        <v>90</v>
      </c>
      <c r="E37" s="15" t="s">
        <v>112</v>
      </c>
      <c r="F37" s="15" t="s">
        <v>54</v>
      </c>
      <c r="G37" s="14" t="n">
        <v>2019</v>
      </c>
      <c r="H37" s="16" t="n">
        <v>274916000</v>
      </c>
      <c r="I37" s="16" t="n">
        <v>421237000</v>
      </c>
      <c r="J37" s="10" t="n">
        <v>146321000</v>
      </c>
      <c r="K37" s="17" t="n">
        <v>23</v>
      </c>
      <c r="L37" s="17" t="n">
        <v>32</v>
      </c>
      <c r="M37" s="17" t="n">
        <v>9</v>
      </c>
      <c r="N37" s="18" t="n">
        <v>63</v>
      </c>
      <c r="O37" s="15" t="s">
        <v>41</v>
      </c>
      <c r="P37" s="13" t="s">
        <v>42</v>
      </c>
    </row>
    <row r="38" customFormat="false" ht="15" hidden="false" customHeight="false" outlineLevel="0" collapsed="false">
      <c r="A38" s="7" t="s">
        <v>154</v>
      </c>
      <c r="B38" s="8" t="s">
        <v>155</v>
      </c>
      <c r="C38" s="8" t="s">
        <v>63</v>
      </c>
      <c r="D38" s="8" t="s">
        <v>90</v>
      </c>
      <c r="E38" s="8" t="s">
        <v>68</v>
      </c>
      <c r="F38" s="8" t="s">
        <v>54</v>
      </c>
      <c r="G38" s="7" t="n">
        <v>2022</v>
      </c>
      <c r="H38" s="9" t="n">
        <v>1232107000</v>
      </c>
      <c r="I38" s="9" t="n">
        <v>1548578000</v>
      </c>
      <c r="J38" s="10" t="n">
        <v>316471000</v>
      </c>
      <c r="K38" s="11" t="n">
        <v>36</v>
      </c>
      <c r="L38" s="11" t="n">
        <v>59</v>
      </c>
      <c r="M38" s="11" t="n">
        <v>23</v>
      </c>
      <c r="N38" s="12" t="n">
        <v>54</v>
      </c>
      <c r="O38" s="8" t="s">
        <v>65</v>
      </c>
      <c r="P38" s="13" t="s">
        <v>42</v>
      </c>
    </row>
    <row r="39" customFormat="false" ht="15" hidden="false" customHeight="false" outlineLevel="0" collapsed="false">
      <c r="A39" s="14" t="s">
        <v>156</v>
      </c>
      <c r="B39" s="15" t="s">
        <v>157</v>
      </c>
      <c r="C39" s="15" t="s">
        <v>89</v>
      </c>
      <c r="D39" s="15" t="s">
        <v>38</v>
      </c>
      <c r="E39" s="15" t="s">
        <v>112</v>
      </c>
      <c r="F39" s="15" t="s">
        <v>47</v>
      </c>
      <c r="G39" s="14" t="n">
        <v>2020</v>
      </c>
      <c r="H39" s="16" t="n">
        <v>760232000</v>
      </c>
      <c r="I39" s="16" t="n">
        <v>754138000</v>
      </c>
      <c r="J39" s="16" t="n">
        <v>-6094000</v>
      </c>
      <c r="K39" s="17" t="n">
        <v>33</v>
      </c>
      <c r="L39" s="17" t="n">
        <v>47</v>
      </c>
      <c r="M39" s="17" t="n">
        <v>14</v>
      </c>
      <c r="N39" s="18" t="n">
        <v>45</v>
      </c>
      <c r="O39" s="15" t="s">
        <v>65</v>
      </c>
      <c r="P39" s="19" t="s">
        <v>92</v>
      </c>
    </row>
    <row r="40" customFormat="false" ht="15" hidden="false" customHeight="false" outlineLevel="0" collapsed="false">
      <c r="A40" s="7" t="s">
        <v>158</v>
      </c>
      <c r="B40" s="8" t="s">
        <v>106</v>
      </c>
      <c r="C40" s="8" t="s">
        <v>98</v>
      </c>
      <c r="D40" s="8" t="s">
        <v>90</v>
      </c>
      <c r="E40" s="8" t="s">
        <v>68</v>
      </c>
      <c r="F40" s="8" t="s">
        <v>74</v>
      </c>
      <c r="G40" s="7" t="n">
        <v>2021</v>
      </c>
      <c r="H40" s="9" t="n">
        <v>1131104000</v>
      </c>
      <c r="I40" s="9" t="n">
        <v>1204743000</v>
      </c>
      <c r="J40" s="10" t="n">
        <v>73639000</v>
      </c>
      <c r="K40" s="11" t="n">
        <v>36</v>
      </c>
      <c r="L40" s="11" t="n">
        <v>53</v>
      </c>
      <c r="M40" s="11" t="n">
        <v>17</v>
      </c>
      <c r="N40" s="12" t="n">
        <v>52</v>
      </c>
      <c r="O40" s="8" t="s">
        <v>48</v>
      </c>
      <c r="P40" s="13" t="s">
        <v>42</v>
      </c>
    </row>
    <row r="41" customFormat="false" ht="15" hidden="false" customHeight="false" outlineLevel="0" collapsed="false">
      <c r="A41" s="14" t="s">
        <v>159</v>
      </c>
      <c r="B41" s="15" t="s">
        <v>106</v>
      </c>
      <c r="C41" s="15" t="s">
        <v>98</v>
      </c>
      <c r="D41" s="15" t="s">
        <v>90</v>
      </c>
      <c r="E41" s="15" t="s">
        <v>112</v>
      </c>
      <c r="F41" s="15" t="s">
        <v>60</v>
      </c>
      <c r="G41" s="14" t="n">
        <v>2021</v>
      </c>
      <c r="H41" s="16" t="n">
        <v>609482000</v>
      </c>
      <c r="I41" s="16" t="n">
        <v>736213000</v>
      </c>
      <c r="J41" s="10" t="n">
        <v>126731000</v>
      </c>
      <c r="K41" s="17" t="n">
        <v>32</v>
      </c>
      <c r="L41" s="17" t="n">
        <v>42</v>
      </c>
      <c r="M41" s="17" t="n">
        <v>10</v>
      </c>
      <c r="N41" s="18" t="n">
        <v>86</v>
      </c>
      <c r="O41" s="15" t="s">
        <v>104</v>
      </c>
      <c r="P41" s="13" t="s">
        <v>42</v>
      </c>
    </row>
    <row r="42" customFormat="false" ht="15" hidden="false" customHeight="false" outlineLevel="0" collapsed="false">
      <c r="A42" s="7" t="s">
        <v>160</v>
      </c>
      <c r="B42" s="8" t="s">
        <v>80</v>
      </c>
      <c r="C42" s="8" t="s">
        <v>81</v>
      </c>
      <c r="D42" s="8" t="s">
        <v>52</v>
      </c>
      <c r="E42" s="8" t="s">
        <v>64</v>
      </c>
      <c r="F42" s="8" t="s">
        <v>54</v>
      </c>
      <c r="G42" s="7" t="n">
        <v>2023</v>
      </c>
      <c r="H42" s="9" t="n">
        <v>1344515000</v>
      </c>
      <c r="I42" s="9" t="n">
        <v>1776853000</v>
      </c>
      <c r="J42" s="10" t="n">
        <v>432338000</v>
      </c>
      <c r="K42" s="11" t="n">
        <v>17</v>
      </c>
      <c r="L42" s="11" t="n">
        <v>27</v>
      </c>
      <c r="M42" s="11" t="n">
        <v>10</v>
      </c>
      <c r="N42" s="12" t="n">
        <v>60</v>
      </c>
      <c r="O42" s="8" t="s">
        <v>65</v>
      </c>
      <c r="P42" s="13" t="s">
        <v>42</v>
      </c>
    </row>
    <row r="43" customFormat="false" ht="15" hidden="false" customHeight="false" outlineLevel="0" collapsed="false">
      <c r="A43" s="14" t="s">
        <v>161</v>
      </c>
      <c r="B43" s="15" t="s">
        <v>162</v>
      </c>
      <c r="C43" s="15" t="s">
        <v>72</v>
      </c>
      <c r="D43" s="15" t="s">
        <v>52</v>
      </c>
      <c r="E43" s="15" t="s">
        <v>124</v>
      </c>
      <c r="F43" s="15" t="s">
        <v>60</v>
      </c>
      <c r="G43" s="14" t="n">
        <v>2020</v>
      </c>
      <c r="H43" s="16" t="n">
        <v>1968675000</v>
      </c>
      <c r="I43" s="16" t="n">
        <v>2592281000</v>
      </c>
      <c r="J43" s="10" t="n">
        <v>623606000</v>
      </c>
      <c r="K43" s="17" t="n">
        <v>16</v>
      </c>
      <c r="L43" s="17" t="n">
        <v>21</v>
      </c>
      <c r="M43" s="17" t="n">
        <v>5</v>
      </c>
      <c r="N43" s="18" t="n">
        <v>54</v>
      </c>
      <c r="O43" s="15" t="s">
        <v>78</v>
      </c>
      <c r="P43" s="13" t="s">
        <v>42</v>
      </c>
    </row>
    <row r="44" customFormat="false" ht="15" hidden="false" customHeight="false" outlineLevel="0" collapsed="false">
      <c r="A44" s="7" t="s">
        <v>163</v>
      </c>
      <c r="B44" s="8" t="s">
        <v>164</v>
      </c>
      <c r="C44" s="8" t="s">
        <v>89</v>
      </c>
      <c r="D44" s="8" t="s">
        <v>45</v>
      </c>
      <c r="E44" s="8" t="s">
        <v>144</v>
      </c>
      <c r="F44" s="8" t="s">
        <v>60</v>
      </c>
      <c r="G44" s="7" t="n">
        <v>2019</v>
      </c>
      <c r="H44" s="9" t="n">
        <v>1567920000</v>
      </c>
      <c r="I44" s="9" t="n">
        <v>1695399000</v>
      </c>
      <c r="J44" s="10" t="n">
        <v>127479000</v>
      </c>
      <c r="K44" s="11" t="n">
        <v>45</v>
      </c>
      <c r="L44" s="11" t="n">
        <v>60</v>
      </c>
      <c r="M44" s="11" t="n">
        <v>15</v>
      </c>
      <c r="N44" s="12" t="n">
        <v>61</v>
      </c>
      <c r="O44" s="8" t="s">
        <v>55</v>
      </c>
      <c r="P44" s="13" t="s">
        <v>42</v>
      </c>
    </row>
    <row r="45" customFormat="false" ht="15" hidden="false" customHeight="false" outlineLevel="0" collapsed="false">
      <c r="A45" s="14" t="s">
        <v>165</v>
      </c>
      <c r="B45" s="15" t="s">
        <v>166</v>
      </c>
      <c r="C45" s="15" t="s">
        <v>85</v>
      </c>
      <c r="D45" s="15" t="s">
        <v>167</v>
      </c>
      <c r="E45" s="15" t="s">
        <v>112</v>
      </c>
      <c r="F45" s="15" t="s">
        <v>47</v>
      </c>
      <c r="G45" s="14" t="n">
        <v>2023</v>
      </c>
      <c r="H45" s="16" t="n">
        <v>668731000</v>
      </c>
      <c r="I45" s="16" t="n">
        <v>938330000</v>
      </c>
      <c r="J45" s="10" t="n">
        <v>269599000</v>
      </c>
      <c r="K45" s="17" t="n">
        <v>40</v>
      </c>
      <c r="L45" s="17" t="n">
        <v>57</v>
      </c>
      <c r="M45" s="17" t="n">
        <v>17</v>
      </c>
      <c r="N45" s="18" t="n">
        <v>94</v>
      </c>
      <c r="O45" s="15" t="s">
        <v>78</v>
      </c>
      <c r="P45" s="13" t="s">
        <v>42</v>
      </c>
    </row>
    <row r="46" customFormat="false" ht="15" hidden="false" customHeight="false" outlineLevel="0" collapsed="false">
      <c r="A46" s="7" t="s">
        <v>168</v>
      </c>
      <c r="B46" s="8" t="s">
        <v>169</v>
      </c>
      <c r="C46" s="8" t="s">
        <v>81</v>
      </c>
      <c r="D46" s="8" t="s">
        <v>52</v>
      </c>
      <c r="E46" s="8" t="s">
        <v>73</v>
      </c>
      <c r="F46" s="8" t="s">
        <v>74</v>
      </c>
      <c r="G46" s="7" t="n">
        <v>2021</v>
      </c>
      <c r="H46" s="9" t="n">
        <v>1515965000</v>
      </c>
      <c r="I46" s="9" t="n">
        <v>2204088000</v>
      </c>
      <c r="J46" s="10" t="n">
        <v>688123000</v>
      </c>
      <c r="K46" s="11" t="n">
        <v>29</v>
      </c>
      <c r="L46" s="11" t="n">
        <v>45</v>
      </c>
      <c r="M46" s="11" t="n">
        <v>16</v>
      </c>
      <c r="N46" s="12" t="n">
        <v>96</v>
      </c>
      <c r="O46" s="8" t="s">
        <v>99</v>
      </c>
      <c r="P46" s="13" t="s">
        <v>42</v>
      </c>
    </row>
    <row r="47" customFormat="false" ht="15" hidden="false" customHeight="false" outlineLevel="0" collapsed="false">
      <c r="A47" s="14" t="s">
        <v>170</v>
      </c>
      <c r="B47" s="15" t="s">
        <v>171</v>
      </c>
      <c r="C47" s="15" t="s">
        <v>72</v>
      </c>
      <c r="D47" s="15" t="s">
        <v>137</v>
      </c>
      <c r="E47" s="15" t="s">
        <v>73</v>
      </c>
      <c r="F47" s="15" t="s">
        <v>60</v>
      </c>
      <c r="G47" s="14" t="n">
        <v>2021</v>
      </c>
      <c r="H47" s="16" t="n">
        <v>507262000</v>
      </c>
      <c r="I47" s="16" t="n">
        <v>584117000</v>
      </c>
      <c r="J47" s="10" t="n">
        <v>76855000</v>
      </c>
      <c r="K47" s="17" t="n">
        <v>46</v>
      </c>
      <c r="L47" s="17" t="n">
        <v>49</v>
      </c>
      <c r="M47" s="17" t="n">
        <v>3</v>
      </c>
      <c r="N47" s="18" t="n">
        <v>49</v>
      </c>
      <c r="O47" s="15" t="s">
        <v>104</v>
      </c>
      <c r="P47" s="19" t="s">
        <v>92</v>
      </c>
    </row>
    <row r="48" customFormat="false" ht="15" hidden="false" customHeight="false" outlineLevel="0" collapsed="false">
      <c r="A48" s="7" t="s">
        <v>172</v>
      </c>
      <c r="B48" s="8" t="s">
        <v>173</v>
      </c>
      <c r="C48" s="8" t="s">
        <v>85</v>
      </c>
      <c r="D48" s="8" t="s">
        <v>45</v>
      </c>
      <c r="E48" s="8" t="s">
        <v>64</v>
      </c>
      <c r="F48" s="8" t="s">
        <v>74</v>
      </c>
      <c r="G48" s="7" t="n">
        <v>2022</v>
      </c>
      <c r="H48" s="9" t="n">
        <v>695219000</v>
      </c>
      <c r="I48" s="9" t="n">
        <v>854810000</v>
      </c>
      <c r="J48" s="10" t="n">
        <v>159591000</v>
      </c>
      <c r="K48" s="11" t="n">
        <v>15</v>
      </c>
      <c r="L48" s="11" t="n">
        <v>17</v>
      </c>
      <c r="M48" s="11" t="n">
        <v>2</v>
      </c>
      <c r="N48" s="12" t="n">
        <v>83</v>
      </c>
      <c r="O48" s="8" t="s">
        <v>78</v>
      </c>
      <c r="P48" s="13" t="s">
        <v>42</v>
      </c>
    </row>
    <row r="49" customFormat="false" ht="15" hidden="false" customHeight="false" outlineLevel="0" collapsed="false">
      <c r="A49" s="14" t="s">
        <v>174</v>
      </c>
      <c r="B49" s="15" t="s">
        <v>175</v>
      </c>
      <c r="C49" s="15" t="s">
        <v>51</v>
      </c>
      <c r="D49" s="15" t="s">
        <v>59</v>
      </c>
      <c r="E49" s="15" t="s">
        <v>53</v>
      </c>
      <c r="F49" s="15" t="s">
        <v>74</v>
      </c>
      <c r="G49" s="14" t="n">
        <v>2019</v>
      </c>
      <c r="H49" s="16" t="n">
        <v>1888346000</v>
      </c>
      <c r="I49" s="16" t="n">
        <v>2132259000</v>
      </c>
      <c r="J49" s="10" t="n">
        <v>243913000</v>
      </c>
      <c r="K49" s="17" t="n">
        <v>36</v>
      </c>
      <c r="L49" s="17" t="n">
        <v>58</v>
      </c>
      <c r="M49" s="17" t="n">
        <v>22</v>
      </c>
      <c r="N49" s="18" t="n">
        <v>83</v>
      </c>
      <c r="O49" s="15" t="s">
        <v>69</v>
      </c>
      <c r="P49" s="13" t="s">
        <v>42</v>
      </c>
    </row>
    <row r="50" customFormat="false" ht="15" hidden="false" customHeight="false" outlineLevel="0" collapsed="false">
      <c r="A50" s="7" t="s">
        <v>176</v>
      </c>
      <c r="B50" s="8" t="s">
        <v>177</v>
      </c>
      <c r="C50" s="8" t="s">
        <v>153</v>
      </c>
      <c r="D50" s="8" t="s">
        <v>59</v>
      </c>
      <c r="E50" s="8" t="s">
        <v>46</v>
      </c>
      <c r="F50" s="8" t="s">
        <v>74</v>
      </c>
      <c r="G50" s="7" t="n">
        <v>2020</v>
      </c>
      <c r="H50" s="9" t="n">
        <v>582224000</v>
      </c>
      <c r="I50" s="9" t="n">
        <v>722764000</v>
      </c>
      <c r="J50" s="10" t="n">
        <v>140540000</v>
      </c>
      <c r="K50" s="11" t="n">
        <v>36</v>
      </c>
      <c r="L50" s="11" t="n">
        <v>44</v>
      </c>
      <c r="M50" s="11" t="n">
        <v>8</v>
      </c>
      <c r="N50" s="12" t="n">
        <v>81</v>
      </c>
      <c r="O50" s="8" t="s">
        <v>121</v>
      </c>
      <c r="P50" s="13" t="s">
        <v>42</v>
      </c>
    </row>
    <row r="51" customFormat="false" ht="15" hidden="false" customHeight="false" outlineLevel="0" collapsed="false">
      <c r="A51" s="14" t="s">
        <v>178</v>
      </c>
      <c r="B51" s="15" t="s">
        <v>179</v>
      </c>
      <c r="C51" s="15" t="s">
        <v>85</v>
      </c>
      <c r="D51" s="15" t="s">
        <v>59</v>
      </c>
      <c r="E51" s="15" t="s">
        <v>112</v>
      </c>
      <c r="F51" s="15" t="s">
        <v>60</v>
      </c>
      <c r="G51" s="14" t="n">
        <v>2022</v>
      </c>
      <c r="H51" s="16" t="n">
        <v>1204191000</v>
      </c>
      <c r="I51" s="16" t="n">
        <v>1623008000</v>
      </c>
      <c r="J51" s="10" t="n">
        <v>418817000</v>
      </c>
      <c r="K51" s="17" t="n">
        <v>17</v>
      </c>
      <c r="L51" s="17" t="n">
        <v>25</v>
      </c>
      <c r="M51" s="17" t="n">
        <v>8</v>
      </c>
      <c r="N51" s="18" t="n">
        <v>47</v>
      </c>
      <c r="O51" s="15" t="s">
        <v>99</v>
      </c>
      <c r="P51" s="19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5" min="3" style="0" width="22"/>
    <col collapsed="false" customWidth="true" hidden="false" outlineLevel="0" max="6" min="6" style="0" width="18"/>
  </cols>
  <sheetData>
    <row r="1" customFormat="false" ht="34.5" hidden="false" customHeight="true" outlineLevel="0" collapsed="false">
      <c r="A1" s="21" t="s">
        <v>19</v>
      </c>
      <c r="B1" s="21" t="s">
        <v>180</v>
      </c>
      <c r="C1" s="21" t="s">
        <v>181</v>
      </c>
      <c r="D1" s="21" t="s">
        <v>182</v>
      </c>
      <c r="E1" s="21" t="s">
        <v>183</v>
      </c>
      <c r="F1" s="21" t="s">
        <v>184</v>
      </c>
    </row>
    <row r="2" customFormat="false" ht="15" hidden="false" customHeight="false" outlineLevel="0" collapsed="false">
      <c r="A2" s="7" t="s">
        <v>35</v>
      </c>
      <c r="B2" s="8" t="s">
        <v>185</v>
      </c>
      <c r="C2" s="9" t="n">
        <v>25768000</v>
      </c>
      <c r="D2" s="9" t="n">
        <v>23969000</v>
      </c>
      <c r="E2" s="9" t="n">
        <v>-1799000</v>
      </c>
      <c r="F2" s="22" t="n">
        <v>-7</v>
      </c>
    </row>
    <row r="3" customFormat="false" ht="15" hidden="false" customHeight="false" outlineLevel="0" collapsed="false">
      <c r="A3" s="14" t="s">
        <v>35</v>
      </c>
      <c r="B3" s="15" t="s">
        <v>186</v>
      </c>
      <c r="C3" s="16" t="n">
        <v>38652000</v>
      </c>
      <c r="D3" s="16" t="n">
        <v>43579000</v>
      </c>
      <c r="E3" s="10" t="n">
        <v>4927000</v>
      </c>
      <c r="F3" s="23" t="n">
        <v>12.7</v>
      </c>
    </row>
    <row r="4" customFormat="false" ht="15" hidden="false" customHeight="false" outlineLevel="0" collapsed="false">
      <c r="A4" s="7" t="s">
        <v>35</v>
      </c>
      <c r="B4" s="8" t="s">
        <v>187</v>
      </c>
      <c r="C4" s="9" t="n">
        <v>16105000</v>
      </c>
      <c r="D4" s="9" t="n">
        <v>16540000</v>
      </c>
      <c r="E4" s="10" t="n">
        <v>435000</v>
      </c>
      <c r="F4" s="22" t="n">
        <v>2.7</v>
      </c>
    </row>
    <row r="5" customFormat="false" ht="15" hidden="false" customHeight="false" outlineLevel="0" collapsed="false">
      <c r="A5" s="14" t="s">
        <v>35</v>
      </c>
      <c r="B5" s="15" t="s">
        <v>188</v>
      </c>
      <c r="C5" s="16" t="n">
        <v>193259000</v>
      </c>
      <c r="D5" s="16" t="n">
        <v>211833000</v>
      </c>
      <c r="E5" s="10" t="n">
        <v>18574000</v>
      </c>
      <c r="F5" s="23" t="n">
        <v>9.6</v>
      </c>
    </row>
    <row r="6" customFormat="false" ht="15" hidden="false" customHeight="false" outlineLevel="0" collapsed="false">
      <c r="A6" s="7" t="s">
        <v>35</v>
      </c>
      <c r="B6" s="8" t="s">
        <v>189</v>
      </c>
      <c r="C6" s="9" t="n">
        <v>32210000</v>
      </c>
      <c r="D6" s="9" t="n">
        <v>43701000</v>
      </c>
      <c r="E6" s="10" t="n">
        <v>11491000</v>
      </c>
      <c r="F6" s="22" t="n">
        <v>35.7</v>
      </c>
    </row>
    <row r="7" customFormat="false" ht="15" hidden="false" customHeight="false" outlineLevel="0" collapsed="false">
      <c r="A7" s="14" t="s">
        <v>35</v>
      </c>
      <c r="B7" s="15" t="s">
        <v>190</v>
      </c>
      <c r="C7" s="16" t="n">
        <v>16105000</v>
      </c>
      <c r="D7" s="16" t="n">
        <v>18158000</v>
      </c>
      <c r="E7" s="10" t="n">
        <v>2053000</v>
      </c>
      <c r="F7" s="23" t="n">
        <v>12.7</v>
      </c>
    </row>
    <row r="8" customFormat="false" ht="15" hidden="false" customHeight="false" outlineLevel="0" collapsed="false">
      <c r="A8" s="7" t="s">
        <v>43</v>
      </c>
      <c r="B8" s="8" t="s">
        <v>185</v>
      </c>
      <c r="C8" s="9" t="n">
        <v>8140000</v>
      </c>
      <c r="D8" s="9" t="n">
        <v>10999000</v>
      </c>
      <c r="E8" s="10" t="n">
        <v>2859000</v>
      </c>
      <c r="F8" s="22" t="n">
        <v>35.1</v>
      </c>
    </row>
    <row r="9" customFormat="false" ht="15" hidden="false" customHeight="false" outlineLevel="0" collapsed="false">
      <c r="A9" s="14" t="s">
        <v>43</v>
      </c>
      <c r="B9" s="15" t="s">
        <v>186</v>
      </c>
      <c r="C9" s="16" t="n">
        <v>12209000</v>
      </c>
      <c r="D9" s="16" t="n">
        <v>17082000</v>
      </c>
      <c r="E9" s="10" t="n">
        <v>4873000</v>
      </c>
      <c r="F9" s="23" t="n">
        <v>39.9</v>
      </c>
    </row>
    <row r="10" customFormat="false" ht="15" hidden="false" customHeight="false" outlineLevel="0" collapsed="false">
      <c r="A10" s="7" t="s">
        <v>43</v>
      </c>
      <c r="B10" s="8" t="s">
        <v>187</v>
      </c>
      <c r="C10" s="9" t="n">
        <v>5087000</v>
      </c>
      <c r="D10" s="9" t="n">
        <v>5348000</v>
      </c>
      <c r="E10" s="10" t="n">
        <v>261000</v>
      </c>
      <c r="F10" s="22" t="n">
        <v>5.1</v>
      </c>
    </row>
    <row r="11" customFormat="false" ht="15" hidden="false" customHeight="false" outlineLevel="0" collapsed="false">
      <c r="A11" s="14" t="s">
        <v>43</v>
      </c>
      <c r="B11" s="15" t="s">
        <v>188</v>
      </c>
      <c r="C11" s="16" t="n">
        <v>61047000</v>
      </c>
      <c r="D11" s="16" t="n">
        <v>57942000</v>
      </c>
      <c r="E11" s="16" t="n">
        <v>-3105000</v>
      </c>
      <c r="F11" s="23" t="n">
        <v>-5.1</v>
      </c>
    </row>
    <row r="12" customFormat="false" ht="15" hidden="false" customHeight="false" outlineLevel="0" collapsed="false">
      <c r="A12" s="7" t="s">
        <v>43</v>
      </c>
      <c r="B12" s="8" t="s">
        <v>189</v>
      </c>
      <c r="C12" s="9" t="n">
        <v>10174000</v>
      </c>
      <c r="D12" s="9" t="n">
        <v>9275000</v>
      </c>
      <c r="E12" s="9" t="n">
        <v>-899000</v>
      </c>
      <c r="F12" s="22" t="n">
        <v>-8.8</v>
      </c>
    </row>
    <row r="13" customFormat="false" ht="15" hidden="false" customHeight="false" outlineLevel="0" collapsed="false">
      <c r="A13" s="14" t="s">
        <v>43</v>
      </c>
      <c r="B13" s="15" t="s">
        <v>190</v>
      </c>
      <c r="C13" s="16" t="n">
        <v>5087000</v>
      </c>
      <c r="D13" s="16" t="n">
        <v>6225000</v>
      </c>
      <c r="E13" s="10" t="n">
        <v>1138000</v>
      </c>
      <c r="F13" s="23" t="n">
        <v>22.4</v>
      </c>
    </row>
    <row r="14" customFormat="false" ht="15" hidden="false" customHeight="false" outlineLevel="0" collapsed="false">
      <c r="A14" s="7" t="s">
        <v>49</v>
      </c>
      <c r="B14" s="8" t="s">
        <v>185</v>
      </c>
      <c r="C14" s="9" t="n">
        <v>28255000</v>
      </c>
      <c r="D14" s="9" t="n">
        <v>42381000</v>
      </c>
      <c r="E14" s="10" t="n">
        <v>14126000</v>
      </c>
      <c r="F14" s="22" t="n">
        <v>50</v>
      </c>
    </row>
    <row r="15" customFormat="false" ht="15" hidden="false" customHeight="false" outlineLevel="0" collapsed="false">
      <c r="A15" s="14" t="s">
        <v>49</v>
      </c>
      <c r="B15" s="15" t="s">
        <v>186</v>
      </c>
      <c r="C15" s="16" t="n">
        <v>42382000</v>
      </c>
      <c r="D15" s="16" t="n">
        <v>47043000</v>
      </c>
      <c r="E15" s="10" t="n">
        <v>4661000</v>
      </c>
      <c r="F15" s="23" t="n">
        <v>11</v>
      </c>
    </row>
    <row r="16" customFormat="false" ht="15" hidden="false" customHeight="false" outlineLevel="0" collapsed="false">
      <c r="A16" s="7" t="s">
        <v>49</v>
      </c>
      <c r="B16" s="8" t="s">
        <v>187</v>
      </c>
      <c r="C16" s="9" t="n">
        <v>17659000</v>
      </c>
      <c r="D16" s="9" t="n">
        <v>22782000</v>
      </c>
      <c r="E16" s="10" t="n">
        <v>5123000</v>
      </c>
      <c r="F16" s="22" t="n">
        <v>29</v>
      </c>
    </row>
    <row r="17" customFormat="false" ht="15" hidden="false" customHeight="false" outlineLevel="0" collapsed="false">
      <c r="A17" s="14" t="s">
        <v>49</v>
      </c>
      <c r="B17" s="15" t="s">
        <v>188</v>
      </c>
      <c r="C17" s="16" t="n">
        <v>211911000</v>
      </c>
      <c r="D17" s="16" t="n">
        <v>290051000</v>
      </c>
      <c r="E17" s="10" t="n">
        <v>78140000</v>
      </c>
      <c r="F17" s="23" t="n">
        <v>36.9</v>
      </c>
    </row>
    <row r="18" customFormat="false" ht="15" hidden="false" customHeight="false" outlineLevel="0" collapsed="false">
      <c r="A18" s="7" t="s">
        <v>49</v>
      </c>
      <c r="B18" s="8" t="s">
        <v>189</v>
      </c>
      <c r="C18" s="9" t="n">
        <v>35318000</v>
      </c>
      <c r="D18" s="9" t="n">
        <v>45597000</v>
      </c>
      <c r="E18" s="10" t="n">
        <v>10279000</v>
      </c>
      <c r="F18" s="22" t="n">
        <v>29.1</v>
      </c>
    </row>
    <row r="19" customFormat="false" ht="15" hidden="false" customHeight="false" outlineLevel="0" collapsed="false">
      <c r="A19" s="14" t="s">
        <v>49</v>
      </c>
      <c r="B19" s="15" t="s">
        <v>190</v>
      </c>
      <c r="C19" s="16" t="n">
        <v>17659000</v>
      </c>
      <c r="D19" s="16" t="n">
        <v>23885000</v>
      </c>
      <c r="E19" s="10" t="n">
        <v>6226000</v>
      </c>
      <c r="F19" s="23" t="n">
        <v>35.3</v>
      </c>
    </row>
    <row r="20" customFormat="false" ht="15" hidden="false" customHeight="false" outlineLevel="0" collapsed="false">
      <c r="A20" s="7" t="s">
        <v>56</v>
      </c>
      <c r="B20" s="8" t="s">
        <v>185</v>
      </c>
      <c r="C20" s="9" t="n">
        <v>87652000</v>
      </c>
      <c r="D20" s="9" t="n">
        <v>128828000</v>
      </c>
      <c r="E20" s="10" t="n">
        <v>41176000</v>
      </c>
      <c r="F20" s="22" t="n">
        <v>47</v>
      </c>
    </row>
    <row r="21" customFormat="false" ht="15" hidden="false" customHeight="false" outlineLevel="0" collapsed="false">
      <c r="A21" s="14" t="s">
        <v>56</v>
      </c>
      <c r="B21" s="15" t="s">
        <v>186</v>
      </c>
      <c r="C21" s="16" t="n">
        <v>131477000</v>
      </c>
      <c r="D21" s="16" t="n">
        <v>134056000</v>
      </c>
      <c r="E21" s="10" t="n">
        <v>2579000</v>
      </c>
      <c r="F21" s="23" t="n">
        <v>2</v>
      </c>
    </row>
    <row r="22" customFormat="false" ht="15" hidden="false" customHeight="false" outlineLevel="0" collapsed="false">
      <c r="A22" s="7" t="s">
        <v>56</v>
      </c>
      <c r="B22" s="8" t="s">
        <v>187</v>
      </c>
      <c r="C22" s="9" t="n">
        <v>54782000</v>
      </c>
      <c r="D22" s="9" t="n">
        <v>49974000</v>
      </c>
      <c r="E22" s="9" t="n">
        <v>-4808000</v>
      </c>
      <c r="F22" s="22" t="n">
        <v>-8.8</v>
      </c>
    </row>
    <row r="23" customFormat="false" ht="15" hidden="false" customHeight="false" outlineLevel="0" collapsed="false">
      <c r="A23" s="14" t="s">
        <v>56</v>
      </c>
      <c r="B23" s="15" t="s">
        <v>188</v>
      </c>
      <c r="C23" s="16" t="n">
        <v>657387000</v>
      </c>
      <c r="D23" s="16" t="n">
        <v>651753000</v>
      </c>
      <c r="E23" s="16" t="n">
        <v>-5634000</v>
      </c>
      <c r="F23" s="23" t="n">
        <v>-0.9</v>
      </c>
    </row>
    <row r="24" customFormat="false" ht="15" hidden="false" customHeight="false" outlineLevel="0" collapsed="false">
      <c r="A24" s="7" t="s">
        <v>56</v>
      </c>
      <c r="B24" s="8" t="s">
        <v>189</v>
      </c>
      <c r="C24" s="9" t="n">
        <v>109564000</v>
      </c>
      <c r="D24" s="9" t="n">
        <v>106905000</v>
      </c>
      <c r="E24" s="9" t="n">
        <v>-2659000</v>
      </c>
      <c r="F24" s="22" t="n">
        <v>-2.4</v>
      </c>
    </row>
    <row r="25" customFormat="false" ht="15" hidden="false" customHeight="false" outlineLevel="0" collapsed="false">
      <c r="A25" s="14" t="s">
        <v>56</v>
      </c>
      <c r="B25" s="15" t="s">
        <v>190</v>
      </c>
      <c r="C25" s="16" t="n">
        <v>54782000</v>
      </c>
      <c r="D25" s="16" t="n">
        <v>71308000</v>
      </c>
      <c r="E25" s="10" t="n">
        <v>16526000</v>
      </c>
      <c r="F25" s="23" t="n">
        <v>30.2</v>
      </c>
    </row>
    <row r="26" customFormat="false" ht="15" hidden="false" customHeight="false" outlineLevel="0" collapsed="false">
      <c r="A26" s="7" t="s">
        <v>61</v>
      </c>
      <c r="B26" s="8" t="s">
        <v>185</v>
      </c>
      <c r="C26" s="9" t="n">
        <v>124599000</v>
      </c>
      <c r="D26" s="9" t="n">
        <v>154301000</v>
      </c>
      <c r="E26" s="10" t="n">
        <v>29702000</v>
      </c>
      <c r="F26" s="22" t="n">
        <v>23.8</v>
      </c>
    </row>
    <row r="27" customFormat="false" ht="15" hidden="false" customHeight="false" outlineLevel="0" collapsed="false">
      <c r="A27" s="14" t="s">
        <v>61</v>
      </c>
      <c r="B27" s="15" t="s">
        <v>186</v>
      </c>
      <c r="C27" s="16" t="n">
        <v>186898000</v>
      </c>
      <c r="D27" s="16" t="n">
        <v>192650000</v>
      </c>
      <c r="E27" s="10" t="n">
        <v>5752000</v>
      </c>
      <c r="F27" s="23" t="n">
        <v>3.1</v>
      </c>
    </row>
    <row r="28" customFormat="false" ht="15" hidden="false" customHeight="false" outlineLevel="0" collapsed="false">
      <c r="A28" s="7" t="s">
        <v>61</v>
      </c>
      <c r="B28" s="8" t="s">
        <v>187</v>
      </c>
      <c r="C28" s="9" t="n">
        <v>77874000</v>
      </c>
      <c r="D28" s="9" t="n">
        <v>102769000</v>
      </c>
      <c r="E28" s="10" t="n">
        <v>24895000</v>
      </c>
      <c r="F28" s="22" t="n">
        <v>32</v>
      </c>
    </row>
    <row r="29" customFormat="false" ht="15" hidden="false" customHeight="false" outlineLevel="0" collapsed="false">
      <c r="A29" s="14" t="s">
        <v>61</v>
      </c>
      <c r="B29" s="15" t="s">
        <v>188</v>
      </c>
      <c r="C29" s="16" t="n">
        <v>934490000</v>
      </c>
      <c r="D29" s="16" t="n">
        <v>1271036000</v>
      </c>
      <c r="E29" s="10" t="n">
        <v>336546000</v>
      </c>
      <c r="F29" s="23" t="n">
        <v>36</v>
      </c>
    </row>
    <row r="30" customFormat="false" ht="15" hidden="false" customHeight="false" outlineLevel="0" collapsed="false">
      <c r="A30" s="7" t="s">
        <v>61</v>
      </c>
      <c r="B30" s="8" t="s">
        <v>189</v>
      </c>
      <c r="C30" s="9" t="n">
        <v>155748000</v>
      </c>
      <c r="D30" s="9" t="n">
        <v>155853000</v>
      </c>
      <c r="E30" s="10" t="n">
        <v>105000</v>
      </c>
      <c r="F30" s="22" t="n">
        <v>0.1</v>
      </c>
    </row>
    <row r="31" customFormat="false" ht="15" hidden="false" customHeight="false" outlineLevel="0" collapsed="false">
      <c r="A31" s="14" t="s">
        <v>61</v>
      </c>
      <c r="B31" s="15" t="s">
        <v>190</v>
      </c>
      <c r="C31" s="16" t="n">
        <v>77874000</v>
      </c>
      <c r="D31" s="16" t="n">
        <v>98460000</v>
      </c>
      <c r="E31" s="10" t="n">
        <v>20586000</v>
      </c>
      <c r="F31" s="23" t="n">
        <v>26.4</v>
      </c>
    </row>
    <row r="32" customFormat="false" ht="15" hidden="false" customHeight="false" outlineLevel="0" collapsed="false">
      <c r="A32" s="7" t="s">
        <v>66</v>
      </c>
      <c r="B32" s="8" t="s">
        <v>185</v>
      </c>
      <c r="C32" s="9" t="n">
        <v>108547000</v>
      </c>
      <c r="D32" s="9" t="n">
        <v>146403000</v>
      </c>
      <c r="E32" s="10" t="n">
        <v>37856000</v>
      </c>
      <c r="F32" s="22" t="n">
        <v>34.9</v>
      </c>
    </row>
    <row r="33" customFormat="false" ht="15" hidden="false" customHeight="false" outlineLevel="0" collapsed="false">
      <c r="A33" s="14" t="s">
        <v>66</v>
      </c>
      <c r="B33" s="15" t="s">
        <v>186</v>
      </c>
      <c r="C33" s="16" t="n">
        <v>162821000</v>
      </c>
      <c r="D33" s="16" t="n">
        <v>157728000</v>
      </c>
      <c r="E33" s="16" t="n">
        <v>-5093000</v>
      </c>
      <c r="F33" s="23" t="n">
        <v>-3.1</v>
      </c>
    </row>
    <row r="34" customFormat="false" ht="15" hidden="false" customHeight="false" outlineLevel="0" collapsed="false">
      <c r="A34" s="7" t="s">
        <v>66</v>
      </c>
      <c r="B34" s="8" t="s">
        <v>187</v>
      </c>
      <c r="C34" s="9" t="n">
        <v>67842000</v>
      </c>
      <c r="D34" s="9" t="n">
        <v>94408000</v>
      </c>
      <c r="E34" s="10" t="n">
        <v>26566000</v>
      </c>
      <c r="F34" s="22" t="n">
        <v>39.2</v>
      </c>
    </row>
    <row r="35" customFormat="false" ht="15" hidden="false" customHeight="false" outlineLevel="0" collapsed="false">
      <c r="A35" s="14" t="s">
        <v>66</v>
      </c>
      <c r="B35" s="15" t="s">
        <v>188</v>
      </c>
      <c r="C35" s="16" t="n">
        <v>814105000</v>
      </c>
      <c r="D35" s="16" t="n">
        <v>1203925000</v>
      </c>
      <c r="E35" s="10" t="n">
        <v>389820000</v>
      </c>
      <c r="F35" s="23" t="n">
        <v>47.9</v>
      </c>
    </row>
    <row r="36" customFormat="false" ht="15" hidden="false" customHeight="false" outlineLevel="0" collapsed="false">
      <c r="A36" s="7" t="s">
        <v>66</v>
      </c>
      <c r="B36" s="8" t="s">
        <v>189</v>
      </c>
      <c r="C36" s="9" t="n">
        <v>135684000</v>
      </c>
      <c r="D36" s="9" t="n">
        <v>130916000</v>
      </c>
      <c r="E36" s="9" t="n">
        <v>-4768000</v>
      </c>
      <c r="F36" s="22" t="n">
        <v>-3.5</v>
      </c>
    </row>
    <row r="37" customFormat="false" ht="15" hidden="false" customHeight="false" outlineLevel="0" collapsed="false">
      <c r="A37" s="14" t="s">
        <v>66</v>
      </c>
      <c r="B37" s="15" t="s">
        <v>190</v>
      </c>
      <c r="C37" s="16" t="n">
        <v>67842000</v>
      </c>
      <c r="D37" s="16" t="n">
        <v>62103000</v>
      </c>
      <c r="E37" s="16" t="n">
        <v>-5739000</v>
      </c>
      <c r="F37" s="23" t="n">
        <v>-8.5</v>
      </c>
    </row>
    <row r="38" customFormat="false" ht="15" hidden="false" customHeight="false" outlineLevel="0" collapsed="false">
      <c r="A38" s="7" t="s">
        <v>70</v>
      </c>
      <c r="B38" s="8" t="s">
        <v>185</v>
      </c>
      <c r="C38" s="9" t="n">
        <v>158366000</v>
      </c>
      <c r="D38" s="9" t="n">
        <v>172171000</v>
      </c>
      <c r="E38" s="10" t="n">
        <v>13805000</v>
      </c>
      <c r="F38" s="22" t="n">
        <v>8.7</v>
      </c>
    </row>
    <row r="39" customFormat="false" ht="15" hidden="false" customHeight="false" outlineLevel="0" collapsed="false">
      <c r="A39" s="14" t="s">
        <v>70</v>
      </c>
      <c r="B39" s="15" t="s">
        <v>186</v>
      </c>
      <c r="C39" s="16" t="n">
        <v>237549000</v>
      </c>
      <c r="D39" s="16" t="n">
        <v>310336000</v>
      </c>
      <c r="E39" s="10" t="n">
        <v>72787000</v>
      </c>
      <c r="F39" s="23" t="n">
        <v>30.6</v>
      </c>
    </row>
    <row r="40" customFormat="false" ht="15" hidden="false" customHeight="false" outlineLevel="0" collapsed="false">
      <c r="A40" s="7" t="s">
        <v>70</v>
      </c>
      <c r="B40" s="8" t="s">
        <v>187</v>
      </c>
      <c r="C40" s="9" t="n">
        <v>98979000</v>
      </c>
      <c r="D40" s="9" t="n">
        <v>145984000</v>
      </c>
      <c r="E40" s="10" t="n">
        <v>47005000</v>
      </c>
      <c r="F40" s="22" t="n">
        <v>47.5</v>
      </c>
    </row>
    <row r="41" customFormat="false" ht="15" hidden="false" customHeight="false" outlineLevel="0" collapsed="false">
      <c r="A41" s="14" t="s">
        <v>70</v>
      </c>
      <c r="B41" s="15" t="s">
        <v>188</v>
      </c>
      <c r="C41" s="16" t="n">
        <v>1187743000</v>
      </c>
      <c r="D41" s="16" t="n">
        <v>1351643000</v>
      </c>
      <c r="E41" s="10" t="n">
        <v>163900000</v>
      </c>
      <c r="F41" s="23" t="n">
        <v>13.8</v>
      </c>
    </row>
    <row r="42" customFormat="false" ht="15" hidden="false" customHeight="false" outlineLevel="0" collapsed="false">
      <c r="A42" s="7" t="s">
        <v>70</v>
      </c>
      <c r="B42" s="8" t="s">
        <v>189</v>
      </c>
      <c r="C42" s="9" t="n">
        <v>197957000</v>
      </c>
      <c r="D42" s="9" t="n">
        <v>263087000</v>
      </c>
      <c r="E42" s="10" t="n">
        <v>65130000</v>
      </c>
      <c r="F42" s="22" t="n">
        <v>32.9</v>
      </c>
    </row>
    <row r="43" customFormat="false" ht="15" hidden="false" customHeight="false" outlineLevel="0" collapsed="false">
      <c r="A43" s="14" t="s">
        <v>70</v>
      </c>
      <c r="B43" s="15" t="s">
        <v>190</v>
      </c>
      <c r="C43" s="16" t="n">
        <v>98979000</v>
      </c>
      <c r="D43" s="16" t="n">
        <v>93594000</v>
      </c>
      <c r="E43" s="16" t="n">
        <v>-5385000</v>
      </c>
      <c r="F43" s="23" t="n">
        <v>-5.4</v>
      </c>
    </row>
    <row r="44" customFormat="false" ht="15" hidden="false" customHeight="false" outlineLevel="0" collapsed="false">
      <c r="A44" s="7" t="s">
        <v>75</v>
      </c>
      <c r="B44" s="8" t="s">
        <v>185</v>
      </c>
      <c r="C44" s="9" t="n">
        <v>36913000</v>
      </c>
      <c r="D44" s="9" t="n">
        <v>48517000</v>
      </c>
      <c r="E44" s="10" t="n">
        <v>11604000</v>
      </c>
      <c r="F44" s="22" t="n">
        <v>31.4</v>
      </c>
    </row>
    <row r="45" customFormat="false" ht="15" hidden="false" customHeight="false" outlineLevel="0" collapsed="false">
      <c r="A45" s="14" t="s">
        <v>75</v>
      </c>
      <c r="B45" s="15" t="s">
        <v>186</v>
      </c>
      <c r="C45" s="16" t="n">
        <v>55370000</v>
      </c>
      <c r="D45" s="16" t="n">
        <v>70671000</v>
      </c>
      <c r="E45" s="10" t="n">
        <v>15301000</v>
      </c>
      <c r="F45" s="23" t="n">
        <v>27.6</v>
      </c>
    </row>
    <row r="46" customFormat="false" ht="15" hidden="false" customHeight="false" outlineLevel="0" collapsed="false">
      <c r="A46" s="7" t="s">
        <v>75</v>
      </c>
      <c r="B46" s="8" t="s">
        <v>187</v>
      </c>
      <c r="C46" s="9" t="n">
        <v>23071000</v>
      </c>
      <c r="D46" s="9" t="n">
        <v>22174000</v>
      </c>
      <c r="E46" s="9" t="n">
        <v>-897000</v>
      </c>
      <c r="F46" s="22" t="n">
        <v>-3.9</v>
      </c>
    </row>
    <row r="47" customFormat="false" ht="15" hidden="false" customHeight="false" outlineLevel="0" collapsed="false">
      <c r="A47" s="14" t="s">
        <v>75</v>
      </c>
      <c r="B47" s="15" t="s">
        <v>188</v>
      </c>
      <c r="C47" s="16" t="n">
        <v>276850000</v>
      </c>
      <c r="D47" s="16" t="n">
        <v>377482000</v>
      </c>
      <c r="E47" s="10" t="n">
        <v>100632000</v>
      </c>
      <c r="F47" s="23" t="n">
        <v>36.3</v>
      </c>
    </row>
    <row r="48" customFormat="false" ht="15" hidden="false" customHeight="false" outlineLevel="0" collapsed="false">
      <c r="A48" s="7" t="s">
        <v>75</v>
      </c>
      <c r="B48" s="8" t="s">
        <v>189</v>
      </c>
      <c r="C48" s="9" t="n">
        <v>46142000</v>
      </c>
      <c r="D48" s="9" t="n">
        <v>65068000</v>
      </c>
      <c r="E48" s="10" t="n">
        <v>18926000</v>
      </c>
      <c r="F48" s="22" t="n">
        <v>41</v>
      </c>
    </row>
    <row r="49" customFormat="false" ht="15" hidden="false" customHeight="false" outlineLevel="0" collapsed="false">
      <c r="A49" s="14" t="s">
        <v>75</v>
      </c>
      <c r="B49" s="15" t="s">
        <v>190</v>
      </c>
      <c r="C49" s="16" t="n">
        <v>23071000</v>
      </c>
      <c r="D49" s="16" t="n">
        <v>29075000</v>
      </c>
      <c r="E49" s="10" t="n">
        <v>6004000</v>
      </c>
      <c r="F49" s="23" t="n">
        <v>26</v>
      </c>
    </row>
    <row r="50" customFormat="false" ht="15" hidden="false" customHeight="false" outlineLevel="0" collapsed="false">
      <c r="A50" s="7" t="s">
        <v>79</v>
      </c>
      <c r="B50" s="8" t="s">
        <v>185</v>
      </c>
      <c r="C50" s="9" t="n">
        <v>120218000</v>
      </c>
      <c r="D50" s="9" t="n">
        <v>116928000</v>
      </c>
      <c r="E50" s="9" t="n">
        <v>-3290000</v>
      </c>
      <c r="F50" s="22" t="n">
        <v>-2.7</v>
      </c>
    </row>
    <row r="51" customFormat="false" ht="15" hidden="false" customHeight="false" outlineLevel="0" collapsed="false">
      <c r="A51" s="14" t="s">
        <v>79</v>
      </c>
      <c r="B51" s="15" t="s">
        <v>186</v>
      </c>
      <c r="C51" s="16" t="n">
        <v>180327000</v>
      </c>
      <c r="D51" s="16" t="n">
        <v>268743000</v>
      </c>
      <c r="E51" s="10" t="n">
        <v>88416000</v>
      </c>
      <c r="F51" s="23" t="n">
        <v>49</v>
      </c>
    </row>
    <row r="52" customFormat="false" ht="15" hidden="false" customHeight="false" outlineLevel="0" collapsed="false">
      <c r="A52" s="7" t="s">
        <v>79</v>
      </c>
      <c r="B52" s="8" t="s">
        <v>187</v>
      </c>
      <c r="C52" s="9" t="n">
        <v>75136000</v>
      </c>
      <c r="D52" s="9" t="n">
        <v>102905000</v>
      </c>
      <c r="E52" s="10" t="n">
        <v>27769000</v>
      </c>
      <c r="F52" s="22" t="n">
        <v>37</v>
      </c>
    </row>
    <row r="53" customFormat="false" ht="15" hidden="false" customHeight="false" outlineLevel="0" collapsed="false">
      <c r="A53" s="14" t="s">
        <v>79</v>
      </c>
      <c r="B53" s="15" t="s">
        <v>188</v>
      </c>
      <c r="C53" s="16" t="n">
        <v>901637000</v>
      </c>
      <c r="D53" s="16" t="n">
        <v>999304000</v>
      </c>
      <c r="E53" s="10" t="n">
        <v>97667000</v>
      </c>
      <c r="F53" s="23" t="n">
        <v>10.8</v>
      </c>
    </row>
    <row r="54" customFormat="false" ht="15" hidden="false" customHeight="false" outlineLevel="0" collapsed="false">
      <c r="A54" s="7" t="s">
        <v>79</v>
      </c>
      <c r="B54" s="8" t="s">
        <v>189</v>
      </c>
      <c r="C54" s="9" t="n">
        <v>150273000</v>
      </c>
      <c r="D54" s="9" t="n">
        <v>173870000</v>
      </c>
      <c r="E54" s="10" t="n">
        <v>23597000</v>
      </c>
      <c r="F54" s="22" t="n">
        <v>15.7</v>
      </c>
    </row>
    <row r="55" customFormat="false" ht="15" hidden="false" customHeight="false" outlineLevel="0" collapsed="false">
      <c r="A55" s="14" t="s">
        <v>79</v>
      </c>
      <c r="B55" s="15" t="s">
        <v>190</v>
      </c>
      <c r="C55" s="16" t="n">
        <v>75136000</v>
      </c>
      <c r="D55" s="16" t="n">
        <v>84328000</v>
      </c>
      <c r="E55" s="10" t="n">
        <v>9192000</v>
      </c>
      <c r="F55" s="23" t="n">
        <v>12.2</v>
      </c>
    </row>
    <row r="56" customFormat="false" ht="15" hidden="false" customHeight="false" outlineLevel="0" collapsed="false">
      <c r="A56" s="7" t="s">
        <v>83</v>
      </c>
      <c r="B56" s="8" t="s">
        <v>185</v>
      </c>
      <c r="C56" s="9" t="n">
        <v>138332000</v>
      </c>
      <c r="D56" s="9" t="n">
        <v>166493000</v>
      </c>
      <c r="E56" s="10" t="n">
        <v>28161000</v>
      </c>
      <c r="F56" s="22" t="n">
        <v>20.4</v>
      </c>
    </row>
    <row r="57" customFormat="false" ht="15" hidden="false" customHeight="false" outlineLevel="0" collapsed="false">
      <c r="A57" s="14" t="s">
        <v>83</v>
      </c>
      <c r="B57" s="15" t="s">
        <v>186</v>
      </c>
      <c r="C57" s="16" t="n">
        <v>207498000</v>
      </c>
      <c r="D57" s="16" t="n">
        <v>229231000</v>
      </c>
      <c r="E57" s="10" t="n">
        <v>21733000</v>
      </c>
      <c r="F57" s="23" t="n">
        <v>10.5</v>
      </c>
    </row>
    <row r="58" customFormat="false" ht="15" hidden="false" customHeight="false" outlineLevel="0" collapsed="false">
      <c r="A58" s="7" t="s">
        <v>83</v>
      </c>
      <c r="B58" s="8" t="s">
        <v>187</v>
      </c>
      <c r="C58" s="9" t="n">
        <v>86458000</v>
      </c>
      <c r="D58" s="9" t="n">
        <v>121884000</v>
      </c>
      <c r="E58" s="10" t="n">
        <v>35426000</v>
      </c>
      <c r="F58" s="22" t="n">
        <v>41</v>
      </c>
    </row>
    <row r="59" customFormat="false" ht="15" hidden="false" customHeight="false" outlineLevel="0" collapsed="false">
      <c r="A59" s="14" t="s">
        <v>83</v>
      </c>
      <c r="B59" s="15" t="s">
        <v>188</v>
      </c>
      <c r="C59" s="16" t="n">
        <v>1037491000</v>
      </c>
      <c r="D59" s="16" t="n">
        <v>1445638000</v>
      </c>
      <c r="E59" s="10" t="n">
        <v>408147000</v>
      </c>
      <c r="F59" s="23" t="n">
        <v>39.3</v>
      </c>
    </row>
    <row r="60" customFormat="false" ht="15" hidden="false" customHeight="false" outlineLevel="0" collapsed="false">
      <c r="A60" s="7" t="s">
        <v>83</v>
      </c>
      <c r="B60" s="8" t="s">
        <v>189</v>
      </c>
      <c r="C60" s="9" t="n">
        <v>172915000</v>
      </c>
      <c r="D60" s="9" t="n">
        <v>166573000</v>
      </c>
      <c r="E60" s="9" t="n">
        <v>-6342000</v>
      </c>
      <c r="F60" s="22" t="n">
        <v>-3.7</v>
      </c>
    </row>
    <row r="61" customFormat="false" ht="15" hidden="false" customHeight="false" outlineLevel="0" collapsed="false">
      <c r="A61" s="14" t="s">
        <v>83</v>
      </c>
      <c r="B61" s="15" t="s">
        <v>190</v>
      </c>
      <c r="C61" s="16" t="n">
        <v>86458000</v>
      </c>
      <c r="D61" s="16" t="n">
        <v>127653000</v>
      </c>
      <c r="E61" s="10" t="n">
        <v>41195000</v>
      </c>
      <c r="F61" s="23" t="n">
        <v>47.6</v>
      </c>
    </row>
    <row r="62" customFormat="false" ht="15" hidden="false" customHeight="false" outlineLevel="0" collapsed="false">
      <c r="A62" s="7" t="s">
        <v>87</v>
      </c>
      <c r="B62" s="8" t="s">
        <v>185</v>
      </c>
      <c r="C62" s="9" t="n">
        <v>43221000</v>
      </c>
      <c r="D62" s="9" t="n">
        <v>55381000</v>
      </c>
      <c r="E62" s="10" t="n">
        <v>12160000</v>
      </c>
      <c r="F62" s="22" t="n">
        <v>28.1</v>
      </c>
    </row>
    <row r="63" customFormat="false" ht="15" hidden="false" customHeight="false" outlineLevel="0" collapsed="false">
      <c r="A63" s="14" t="s">
        <v>87</v>
      </c>
      <c r="B63" s="15" t="s">
        <v>186</v>
      </c>
      <c r="C63" s="16" t="n">
        <v>64831000</v>
      </c>
      <c r="D63" s="16" t="n">
        <v>90583000</v>
      </c>
      <c r="E63" s="10" t="n">
        <v>25752000</v>
      </c>
      <c r="F63" s="23" t="n">
        <v>39.7</v>
      </c>
    </row>
    <row r="64" customFormat="false" ht="15" hidden="false" customHeight="false" outlineLevel="0" collapsed="false">
      <c r="A64" s="7" t="s">
        <v>87</v>
      </c>
      <c r="B64" s="8" t="s">
        <v>187</v>
      </c>
      <c r="C64" s="9" t="n">
        <v>27013000</v>
      </c>
      <c r="D64" s="9" t="n">
        <v>35776000</v>
      </c>
      <c r="E64" s="10" t="n">
        <v>8763000</v>
      </c>
      <c r="F64" s="22" t="n">
        <v>32.4</v>
      </c>
    </row>
    <row r="65" customFormat="false" ht="15" hidden="false" customHeight="false" outlineLevel="0" collapsed="false">
      <c r="A65" s="14" t="s">
        <v>87</v>
      </c>
      <c r="B65" s="15" t="s">
        <v>188</v>
      </c>
      <c r="C65" s="16" t="n">
        <v>324155000</v>
      </c>
      <c r="D65" s="16" t="n">
        <v>376439000</v>
      </c>
      <c r="E65" s="10" t="n">
        <v>52284000</v>
      </c>
      <c r="F65" s="23" t="n">
        <v>16.1</v>
      </c>
    </row>
    <row r="66" customFormat="false" ht="15" hidden="false" customHeight="false" outlineLevel="0" collapsed="false">
      <c r="A66" s="7" t="s">
        <v>87</v>
      </c>
      <c r="B66" s="8" t="s">
        <v>189</v>
      </c>
      <c r="C66" s="9" t="n">
        <v>54026000</v>
      </c>
      <c r="D66" s="9" t="n">
        <v>72410000</v>
      </c>
      <c r="E66" s="10" t="n">
        <v>18384000</v>
      </c>
      <c r="F66" s="22" t="n">
        <v>34</v>
      </c>
    </row>
    <row r="67" customFormat="false" ht="15" hidden="false" customHeight="false" outlineLevel="0" collapsed="false">
      <c r="A67" s="14" t="s">
        <v>87</v>
      </c>
      <c r="B67" s="15" t="s">
        <v>190</v>
      </c>
      <c r="C67" s="16" t="n">
        <v>27013000</v>
      </c>
      <c r="D67" s="16" t="n">
        <v>39960000</v>
      </c>
      <c r="E67" s="10" t="n">
        <v>12947000</v>
      </c>
      <c r="F67" s="23" t="n">
        <v>47.9</v>
      </c>
    </row>
    <row r="68" customFormat="false" ht="15" hidden="false" customHeight="false" outlineLevel="0" collapsed="false">
      <c r="A68" s="7" t="s">
        <v>93</v>
      </c>
      <c r="B68" s="8" t="s">
        <v>185</v>
      </c>
      <c r="C68" s="9" t="n">
        <v>74781000</v>
      </c>
      <c r="D68" s="9" t="n">
        <v>79421000</v>
      </c>
      <c r="E68" s="10" t="n">
        <v>4640000</v>
      </c>
      <c r="F68" s="22" t="n">
        <v>6.2</v>
      </c>
    </row>
    <row r="69" customFormat="false" ht="15" hidden="false" customHeight="false" outlineLevel="0" collapsed="false">
      <c r="A69" s="14" t="s">
        <v>93</v>
      </c>
      <c r="B69" s="15" t="s">
        <v>186</v>
      </c>
      <c r="C69" s="16" t="n">
        <v>112171000</v>
      </c>
      <c r="D69" s="16" t="n">
        <v>155348000</v>
      </c>
      <c r="E69" s="10" t="n">
        <v>43177000</v>
      </c>
      <c r="F69" s="23" t="n">
        <v>38.5</v>
      </c>
    </row>
    <row r="70" customFormat="false" ht="15" hidden="false" customHeight="false" outlineLevel="0" collapsed="false">
      <c r="A70" s="7" t="s">
        <v>93</v>
      </c>
      <c r="B70" s="8" t="s">
        <v>187</v>
      </c>
      <c r="C70" s="9" t="n">
        <v>46738000</v>
      </c>
      <c r="D70" s="9" t="n">
        <v>57156000</v>
      </c>
      <c r="E70" s="10" t="n">
        <v>10418000</v>
      </c>
      <c r="F70" s="22" t="n">
        <v>22.3</v>
      </c>
    </row>
    <row r="71" customFormat="false" ht="15" hidden="false" customHeight="false" outlineLevel="0" collapsed="false">
      <c r="A71" s="14" t="s">
        <v>93</v>
      </c>
      <c r="B71" s="15" t="s">
        <v>188</v>
      </c>
      <c r="C71" s="16" t="n">
        <v>560857000</v>
      </c>
      <c r="D71" s="16" t="n">
        <v>667475000</v>
      </c>
      <c r="E71" s="10" t="n">
        <v>106618000</v>
      </c>
      <c r="F71" s="23" t="n">
        <v>19</v>
      </c>
    </row>
    <row r="72" customFormat="false" ht="15" hidden="false" customHeight="false" outlineLevel="0" collapsed="false">
      <c r="A72" s="7" t="s">
        <v>93</v>
      </c>
      <c r="B72" s="8" t="s">
        <v>189</v>
      </c>
      <c r="C72" s="9" t="n">
        <v>93476000</v>
      </c>
      <c r="D72" s="9" t="n">
        <v>108558000</v>
      </c>
      <c r="E72" s="10" t="n">
        <v>15082000</v>
      </c>
      <c r="F72" s="22" t="n">
        <v>16.1</v>
      </c>
    </row>
    <row r="73" customFormat="false" ht="15" hidden="false" customHeight="false" outlineLevel="0" collapsed="false">
      <c r="A73" s="14" t="s">
        <v>93</v>
      </c>
      <c r="B73" s="15" t="s">
        <v>190</v>
      </c>
      <c r="C73" s="16" t="n">
        <v>46738000</v>
      </c>
      <c r="D73" s="16" t="n">
        <v>62564000</v>
      </c>
      <c r="E73" s="10" t="n">
        <v>15826000</v>
      </c>
      <c r="F73" s="23" t="n">
        <v>33.9</v>
      </c>
    </row>
    <row r="74" customFormat="false" ht="15" hidden="false" customHeight="false" outlineLevel="0" collapsed="false">
      <c r="A74" s="7" t="s">
        <v>96</v>
      </c>
      <c r="B74" s="8" t="s">
        <v>185</v>
      </c>
      <c r="C74" s="9" t="n">
        <v>62331000</v>
      </c>
      <c r="D74" s="9" t="n">
        <v>66136000</v>
      </c>
      <c r="E74" s="10" t="n">
        <v>3805000</v>
      </c>
      <c r="F74" s="22" t="n">
        <v>6.1</v>
      </c>
    </row>
    <row r="75" customFormat="false" ht="15" hidden="false" customHeight="false" outlineLevel="0" collapsed="false">
      <c r="A75" s="14" t="s">
        <v>96</v>
      </c>
      <c r="B75" s="15" t="s">
        <v>186</v>
      </c>
      <c r="C75" s="16" t="n">
        <v>93496000</v>
      </c>
      <c r="D75" s="16" t="n">
        <v>131925000</v>
      </c>
      <c r="E75" s="10" t="n">
        <v>38429000</v>
      </c>
      <c r="F75" s="23" t="n">
        <v>41.1</v>
      </c>
    </row>
    <row r="76" customFormat="false" ht="15" hidden="false" customHeight="false" outlineLevel="0" collapsed="false">
      <c r="A76" s="7" t="s">
        <v>96</v>
      </c>
      <c r="B76" s="8" t="s">
        <v>187</v>
      </c>
      <c r="C76" s="9" t="n">
        <v>38957000</v>
      </c>
      <c r="D76" s="9" t="n">
        <v>54479000</v>
      </c>
      <c r="E76" s="10" t="n">
        <v>15522000</v>
      </c>
      <c r="F76" s="22" t="n">
        <v>39.8</v>
      </c>
    </row>
    <row r="77" customFormat="false" ht="15" hidden="false" customHeight="false" outlineLevel="0" collapsed="false">
      <c r="A77" s="14" t="s">
        <v>96</v>
      </c>
      <c r="B77" s="15" t="s">
        <v>188</v>
      </c>
      <c r="C77" s="16" t="n">
        <v>467479000</v>
      </c>
      <c r="D77" s="16" t="n">
        <v>445039000</v>
      </c>
      <c r="E77" s="16" t="n">
        <v>-22440000</v>
      </c>
      <c r="F77" s="23" t="n">
        <v>-4.8</v>
      </c>
    </row>
    <row r="78" customFormat="false" ht="15" hidden="false" customHeight="false" outlineLevel="0" collapsed="false">
      <c r="A78" s="7" t="s">
        <v>96</v>
      </c>
      <c r="B78" s="8" t="s">
        <v>189</v>
      </c>
      <c r="C78" s="9" t="n">
        <v>77913000</v>
      </c>
      <c r="D78" s="9" t="n">
        <v>111336000</v>
      </c>
      <c r="E78" s="10" t="n">
        <v>33423000</v>
      </c>
      <c r="F78" s="22" t="n">
        <v>42.9</v>
      </c>
    </row>
    <row r="79" customFormat="false" ht="15" hidden="false" customHeight="false" outlineLevel="0" collapsed="false">
      <c r="A79" s="14" t="s">
        <v>96</v>
      </c>
      <c r="B79" s="15" t="s">
        <v>190</v>
      </c>
      <c r="C79" s="16" t="n">
        <v>38957000</v>
      </c>
      <c r="D79" s="16" t="n">
        <v>40761000</v>
      </c>
      <c r="E79" s="10" t="n">
        <v>1804000</v>
      </c>
      <c r="F79" s="23" t="n">
        <v>4.6</v>
      </c>
    </row>
    <row r="80" customFormat="false" ht="15" hidden="false" customHeight="false" outlineLevel="0" collapsed="false">
      <c r="A80" s="7" t="s">
        <v>100</v>
      </c>
      <c r="B80" s="8" t="s">
        <v>185</v>
      </c>
      <c r="C80" s="9" t="n">
        <v>41576000</v>
      </c>
      <c r="D80" s="9" t="n">
        <v>49011000</v>
      </c>
      <c r="E80" s="10" t="n">
        <v>7435000</v>
      </c>
      <c r="F80" s="22" t="n">
        <v>17.9</v>
      </c>
    </row>
    <row r="81" customFormat="false" ht="15" hidden="false" customHeight="false" outlineLevel="0" collapsed="false">
      <c r="A81" s="14" t="s">
        <v>100</v>
      </c>
      <c r="B81" s="15" t="s">
        <v>186</v>
      </c>
      <c r="C81" s="16" t="n">
        <v>62364000</v>
      </c>
      <c r="D81" s="16" t="n">
        <v>78965000</v>
      </c>
      <c r="E81" s="10" t="n">
        <v>16601000</v>
      </c>
      <c r="F81" s="23" t="n">
        <v>26.6</v>
      </c>
    </row>
    <row r="82" customFormat="false" ht="15" hidden="false" customHeight="false" outlineLevel="0" collapsed="false">
      <c r="A82" s="7" t="s">
        <v>100</v>
      </c>
      <c r="B82" s="8" t="s">
        <v>187</v>
      </c>
      <c r="C82" s="9" t="n">
        <v>25985000</v>
      </c>
      <c r="D82" s="9" t="n">
        <v>29295000</v>
      </c>
      <c r="E82" s="10" t="n">
        <v>3310000</v>
      </c>
      <c r="F82" s="22" t="n">
        <v>12.7</v>
      </c>
    </row>
    <row r="83" customFormat="false" ht="15" hidden="false" customHeight="false" outlineLevel="0" collapsed="false">
      <c r="A83" s="14" t="s">
        <v>100</v>
      </c>
      <c r="B83" s="15" t="s">
        <v>188</v>
      </c>
      <c r="C83" s="16" t="n">
        <v>311820000</v>
      </c>
      <c r="D83" s="16" t="n">
        <v>286008000</v>
      </c>
      <c r="E83" s="16" t="n">
        <v>-25812000</v>
      </c>
      <c r="F83" s="23" t="n">
        <v>-8.3</v>
      </c>
    </row>
    <row r="84" customFormat="false" ht="15" hidden="false" customHeight="false" outlineLevel="0" collapsed="false">
      <c r="A84" s="7" t="s">
        <v>100</v>
      </c>
      <c r="B84" s="8" t="s">
        <v>189</v>
      </c>
      <c r="C84" s="9" t="n">
        <v>51970000</v>
      </c>
      <c r="D84" s="9" t="n">
        <v>73307000</v>
      </c>
      <c r="E84" s="10" t="n">
        <v>21337000</v>
      </c>
      <c r="F84" s="22" t="n">
        <v>41.1</v>
      </c>
    </row>
    <row r="85" customFormat="false" ht="15" hidden="false" customHeight="false" outlineLevel="0" collapsed="false">
      <c r="A85" s="14" t="s">
        <v>100</v>
      </c>
      <c r="B85" s="15" t="s">
        <v>190</v>
      </c>
      <c r="C85" s="16" t="n">
        <v>25985000</v>
      </c>
      <c r="D85" s="16" t="n">
        <v>26222000</v>
      </c>
      <c r="E85" s="10" t="n">
        <v>237000</v>
      </c>
      <c r="F85" s="23" t="n">
        <v>0.9</v>
      </c>
    </row>
    <row r="86" customFormat="false" ht="15" hidden="false" customHeight="false" outlineLevel="0" collapsed="false">
      <c r="A86" s="7" t="s">
        <v>102</v>
      </c>
      <c r="B86" s="8" t="s">
        <v>185</v>
      </c>
      <c r="C86" s="9" t="n">
        <v>45349000</v>
      </c>
      <c r="D86" s="9" t="n">
        <v>46586000</v>
      </c>
      <c r="E86" s="10" t="n">
        <v>1237000</v>
      </c>
      <c r="F86" s="22" t="n">
        <v>2.7</v>
      </c>
    </row>
    <row r="87" customFormat="false" ht="15" hidden="false" customHeight="false" outlineLevel="0" collapsed="false">
      <c r="A87" s="14" t="s">
        <v>102</v>
      </c>
      <c r="B87" s="15" t="s">
        <v>186</v>
      </c>
      <c r="C87" s="16" t="n">
        <v>68023000</v>
      </c>
      <c r="D87" s="16" t="n">
        <v>93783000</v>
      </c>
      <c r="E87" s="10" t="n">
        <v>25760000</v>
      </c>
      <c r="F87" s="23" t="n">
        <v>37.9</v>
      </c>
    </row>
    <row r="88" customFormat="false" ht="15" hidden="false" customHeight="false" outlineLevel="0" collapsed="false">
      <c r="A88" s="7" t="s">
        <v>102</v>
      </c>
      <c r="B88" s="8" t="s">
        <v>187</v>
      </c>
      <c r="C88" s="9" t="n">
        <v>28343000</v>
      </c>
      <c r="D88" s="9" t="n">
        <v>31296000</v>
      </c>
      <c r="E88" s="10" t="n">
        <v>2953000</v>
      </c>
      <c r="F88" s="22" t="n">
        <v>10.4</v>
      </c>
    </row>
    <row r="89" customFormat="false" ht="15" hidden="false" customHeight="false" outlineLevel="0" collapsed="false">
      <c r="A89" s="14" t="s">
        <v>102</v>
      </c>
      <c r="B89" s="15" t="s">
        <v>188</v>
      </c>
      <c r="C89" s="16" t="n">
        <v>340116000</v>
      </c>
      <c r="D89" s="16" t="n">
        <v>485751000</v>
      </c>
      <c r="E89" s="10" t="n">
        <v>145635000</v>
      </c>
      <c r="F89" s="23" t="n">
        <v>42.8</v>
      </c>
    </row>
    <row r="90" customFormat="false" ht="15" hidden="false" customHeight="false" outlineLevel="0" collapsed="false">
      <c r="A90" s="7" t="s">
        <v>102</v>
      </c>
      <c r="B90" s="8" t="s">
        <v>189</v>
      </c>
      <c r="C90" s="9" t="n">
        <v>56686000</v>
      </c>
      <c r="D90" s="9" t="n">
        <v>74866000</v>
      </c>
      <c r="E90" s="10" t="n">
        <v>18180000</v>
      </c>
      <c r="F90" s="22" t="n">
        <v>32.1</v>
      </c>
    </row>
    <row r="91" customFormat="false" ht="15" hidden="false" customHeight="false" outlineLevel="0" collapsed="false">
      <c r="A91" s="14" t="s">
        <v>102</v>
      </c>
      <c r="B91" s="15" t="s">
        <v>190</v>
      </c>
      <c r="C91" s="16" t="n">
        <v>28343000</v>
      </c>
      <c r="D91" s="16" t="n">
        <v>30207000</v>
      </c>
      <c r="E91" s="10" t="n">
        <v>1864000</v>
      </c>
      <c r="F91" s="23" t="n">
        <v>6.6</v>
      </c>
    </row>
    <row r="92" customFormat="false" ht="15" hidden="false" customHeight="false" outlineLevel="0" collapsed="false">
      <c r="A92" s="7" t="s">
        <v>105</v>
      </c>
      <c r="B92" s="8" t="s">
        <v>185</v>
      </c>
      <c r="C92" s="9" t="n">
        <v>74432000</v>
      </c>
      <c r="D92" s="9" t="n">
        <v>67442000</v>
      </c>
      <c r="E92" s="9" t="n">
        <v>-6990000</v>
      </c>
      <c r="F92" s="22" t="n">
        <v>-9.4</v>
      </c>
    </row>
    <row r="93" customFormat="false" ht="15" hidden="false" customHeight="false" outlineLevel="0" collapsed="false">
      <c r="A93" s="14" t="s">
        <v>105</v>
      </c>
      <c r="B93" s="15" t="s">
        <v>186</v>
      </c>
      <c r="C93" s="16" t="n">
        <v>111648000</v>
      </c>
      <c r="D93" s="16" t="n">
        <v>163993000</v>
      </c>
      <c r="E93" s="10" t="n">
        <v>52345000</v>
      </c>
      <c r="F93" s="23" t="n">
        <v>46.9</v>
      </c>
    </row>
    <row r="94" customFormat="false" ht="15" hidden="false" customHeight="false" outlineLevel="0" collapsed="false">
      <c r="A94" s="7" t="s">
        <v>105</v>
      </c>
      <c r="B94" s="8" t="s">
        <v>187</v>
      </c>
      <c r="C94" s="9" t="n">
        <v>46520000</v>
      </c>
      <c r="D94" s="9" t="n">
        <v>44258000</v>
      </c>
      <c r="E94" s="9" t="n">
        <v>-2262000</v>
      </c>
      <c r="F94" s="22" t="n">
        <v>-4.9</v>
      </c>
    </row>
    <row r="95" customFormat="false" ht="15" hidden="false" customHeight="false" outlineLevel="0" collapsed="false">
      <c r="A95" s="14" t="s">
        <v>105</v>
      </c>
      <c r="B95" s="15" t="s">
        <v>188</v>
      </c>
      <c r="C95" s="16" t="n">
        <v>558239000</v>
      </c>
      <c r="D95" s="16" t="n">
        <v>743599000</v>
      </c>
      <c r="E95" s="10" t="n">
        <v>185360000</v>
      </c>
      <c r="F95" s="23" t="n">
        <v>33.2</v>
      </c>
    </row>
    <row r="96" customFormat="false" ht="15" hidden="false" customHeight="false" outlineLevel="0" collapsed="false">
      <c r="A96" s="7" t="s">
        <v>105</v>
      </c>
      <c r="B96" s="8" t="s">
        <v>189</v>
      </c>
      <c r="C96" s="9" t="n">
        <v>93040000</v>
      </c>
      <c r="D96" s="9" t="n">
        <v>111010000</v>
      </c>
      <c r="E96" s="10" t="n">
        <v>17970000</v>
      </c>
      <c r="F96" s="22" t="n">
        <v>19.3</v>
      </c>
    </row>
    <row r="97" customFormat="false" ht="15" hidden="false" customHeight="false" outlineLevel="0" collapsed="false">
      <c r="A97" s="14" t="s">
        <v>105</v>
      </c>
      <c r="B97" s="15" t="s">
        <v>190</v>
      </c>
      <c r="C97" s="16" t="n">
        <v>46520000</v>
      </c>
      <c r="D97" s="16" t="n">
        <v>63030000</v>
      </c>
      <c r="E97" s="10" t="n">
        <v>16510000</v>
      </c>
      <c r="F97" s="23" t="n">
        <v>35.5</v>
      </c>
    </row>
    <row r="98" customFormat="false" ht="15" hidden="false" customHeight="false" outlineLevel="0" collapsed="false">
      <c r="A98" s="7" t="s">
        <v>108</v>
      </c>
      <c r="B98" s="8" t="s">
        <v>185</v>
      </c>
      <c r="C98" s="9" t="n">
        <v>14514000</v>
      </c>
      <c r="D98" s="9" t="n">
        <v>19077000</v>
      </c>
      <c r="E98" s="10" t="n">
        <v>4563000</v>
      </c>
      <c r="F98" s="22" t="n">
        <v>31.4</v>
      </c>
    </row>
    <row r="99" customFormat="false" ht="15" hidden="false" customHeight="false" outlineLevel="0" collapsed="false">
      <c r="A99" s="14" t="s">
        <v>108</v>
      </c>
      <c r="B99" s="15" t="s">
        <v>186</v>
      </c>
      <c r="C99" s="16" t="n">
        <v>21772000</v>
      </c>
      <c r="D99" s="16" t="n">
        <v>28032000</v>
      </c>
      <c r="E99" s="10" t="n">
        <v>6260000</v>
      </c>
      <c r="F99" s="23" t="n">
        <v>28.8</v>
      </c>
    </row>
    <row r="100" customFormat="false" ht="15" hidden="false" customHeight="false" outlineLevel="0" collapsed="false">
      <c r="A100" s="7" t="s">
        <v>108</v>
      </c>
      <c r="B100" s="8" t="s">
        <v>187</v>
      </c>
      <c r="C100" s="9" t="n">
        <v>9072000</v>
      </c>
      <c r="D100" s="9" t="n">
        <v>10836000</v>
      </c>
      <c r="E100" s="10" t="n">
        <v>1764000</v>
      </c>
      <c r="F100" s="22" t="n">
        <v>19.4</v>
      </c>
    </row>
    <row r="101" customFormat="false" ht="15" hidden="false" customHeight="false" outlineLevel="0" collapsed="false">
      <c r="A101" s="14" t="s">
        <v>108</v>
      </c>
      <c r="B101" s="15" t="s">
        <v>188</v>
      </c>
      <c r="C101" s="16" t="n">
        <v>108859000</v>
      </c>
      <c r="D101" s="16" t="n">
        <v>149764000</v>
      </c>
      <c r="E101" s="10" t="n">
        <v>40905000</v>
      </c>
      <c r="F101" s="23" t="n">
        <v>37.6</v>
      </c>
    </row>
    <row r="102" customFormat="false" ht="15" hidden="false" customHeight="false" outlineLevel="0" collapsed="false">
      <c r="A102" s="7" t="s">
        <v>108</v>
      </c>
      <c r="B102" s="8" t="s">
        <v>189</v>
      </c>
      <c r="C102" s="9" t="n">
        <v>18143000</v>
      </c>
      <c r="D102" s="9" t="n">
        <v>17342000</v>
      </c>
      <c r="E102" s="9" t="n">
        <v>-801000</v>
      </c>
      <c r="F102" s="22" t="n">
        <v>-4.4</v>
      </c>
    </row>
    <row r="103" customFormat="false" ht="15" hidden="false" customHeight="false" outlineLevel="0" collapsed="false">
      <c r="A103" s="14" t="s">
        <v>108</v>
      </c>
      <c r="B103" s="15" t="s">
        <v>190</v>
      </c>
      <c r="C103" s="16" t="n">
        <v>9072000</v>
      </c>
      <c r="D103" s="16" t="n">
        <v>9371000</v>
      </c>
      <c r="E103" s="10" t="n">
        <v>299000</v>
      </c>
      <c r="F103" s="23" t="n">
        <v>3.3</v>
      </c>
    </row>
    <row r="104" customFormat="false" ht="15" hidden="false" customHeight="false" outlineLevel="0" collapsed="false">
      <c r="A104" s="7" t="s">
        <v>110</v>
      </c>
      <c r="B104" s="8" t="s">
        <v>185</v>
      </c>
      <c r="C104" s="9" t="n">
        <v>93889000</v>
      </c>
      <c r="D104" s="9" t="n">
        <v>123471000</v>
      </c>
      <c r="E104" s="10" t="n">
        <v>29582000</v>
      </c>
      <c r="F104" s="22" t="n">
        <v>31.5</v>
      </c>
    </row>
    <row r="105" customFormat="false" ht="15" hidden="false" customHeight="false" outlineLevel="0" collapsed="false">
      <c r="A105" s="14" t="s">
        <v>110</v>
      </c>
      <c r="B105" s="15" t="s">
        <v>186</v>
      </c>
      <c r="C105" s="16" t="n">
        <v>140834000</v>
      </c>
      <c r="D105" s="16" t="n">
        <v>152625000</v>
      </c>
      <c r="E105" s="10" t="n">
        <v>11791000</v>
      </c>
      <c r="F105" s="23" t="n">
        <v>8.4</v>
      </c>
    </row>
    <row r="106" customFormat="false" ht="15" hidden="false" customHeight="false" outlineLevel="0" collapsed="false">
      <c r="A106" s="7" t="s">
        <v>110</v>
      </c>
      <c r="B106" s="8" t="s">
        <v>187</v>
      </c>
      <c r="C106" s="9" t="n">
        <v>58681000</v>
      </c>
      <c r="D106" s="9" t="n">
        <v>73289000</v>
      </c>
      <c r="E106" s="10" t="n">
        <v>14608000</v>
      </c>
      <c r="F106" s="22" t="n">
        <v>24.9</v>
      </c>
    </row>
    <row r="107" customFormat="false" ht="15" hidden="false" customHeight="false" outlineLevel="0" collapsed="false">
      <c r="A107" s="14" t="s">
        <v>110</v>
      </c>
      <c r="B107" s="15" t="s">
        <v>188</v>
      </c>
      <c r="C107" s="16" t="n">
        <v>704168000</v>
      </c>
      <c r="D107" s="16" t="n">
        <v>833704000</v>
      </c>
      <c r="E107" s="10" t="n">
        <v>129536000</v>
      </c>
      <c r="F107" s="23" t="n">
        <v>18.4</v>
      </c>
    </row>
    <row r="108" customFormat="false" ht="15" hidden="false" customHeight="false" outlineLevel="0" collapsed="false">
      <c r="A108" s="7" t="s">
        <v>110</v>
      </c>
      <c r="B108" s="8" t="s">
        <v>189</v>
      </c>
      <c r="C108" s="9" t="n">
        <v>117361000</v>
      </c>
      <c r="D108" s="9" t="n">
        <v>143011000</v>
      </c>
      <c r="E108" s="10" t="n">
        <v>25650000</v>
      </c>
      <c r="F108" s="22" t="n">
        <v>21.9</v>
      </c>
    </row>
    <row r="109" customFormat="false" ht="15" hidden="false" customHeight="false" outlineLevel="0" collapsed="false">
      <c r="A109" s="14" t="s">
        <v>110</v>
      </c>
      <c r="B109" s="15" t="s">
        <v>190</v>
      </c>
      <c r="C109" s="16" t="n">
        <v>58681000</v>
      </c>
      <c r="D109" s="16" t="n">
        <v>67794000</v>
      </c>
      <c r="E109" s="10" t="n">
        <v>9113000</v>
      </c>
      <c r="F109" s="23" t="n">
        <v>15.5</v>
      </c>
    </row>
    <row r="110" customFormat="false" ht="15" hidden="false" customHeight="false" outlineLevel="0" collapsed="false">
      <c r="A110" s="7" t="s">
        <v>113</v>
      </c>
      <c r="B110" s="8" t="s">
        <v>185</v>
      </c>
      <c r="C110" s="9" t="n">
        <v>138759000</v>
      </c>
      <c r="D110" s="9" t="n">
        <v>186986000</v>
      </c>
      <c r="E110" s="10" t="n">
        <v>48227000</v>
      </c>
      <c r="F110" s="22" t="n">
        <v>34.8</v>
      </c>
    </row>
    <row r="111" customFormat="false" ht="15" hidden="false" customHeight="false" outlineLevel="0" collapsed="false">
      <c r="A111" s="14" t="s">
        <v>113</v>
      </c>
      <c r="B111" s="15" t="s">
        <v>186</v>
      </c>
      <c r="C111" s="16" t="n">
        <v>208138000</v>
      </c>
      <c r="D111" s="16" t="n">
        <v>228634000</v>
      </c>
      <c r="E111" s="10" t="n">
        <v>20496000</v>
      </c>
      <c r="F111" s="23" t="n">
        <v>9.8</v>
      </c>
    </row>
    <row r="112" customFormat="false" ht="15" hidden="false" customHeight="false" outlineLevel="0" collapsed="false">
      <c r="A112" s="7" t="s">
        <v>113</v>
      </c>
      <c r="B112" s="8" t="s">
        <v>187</v>
      </c>
      <c r="C112" s="9" t="n">
        <v>86724000</v>
      </c>
      <c r="D112" s="9" t="n">
        <v>114624000</v>
      </c>
      <c r="E112" s="10" t="n">
        <v>27900000</v>
      </c>
      <c r="F112" s="22" t="n">
        <v>32.2</v>
      </c>
    </row>
    <row r="113" customFormat="false" ht="15" hidden="false" customHeight="false" outlineLevel="0" collapsed="false">
      <c r="A113" s="14" t="s">
        <v>113</v>
      </c>
      <c r="B113" s="15" t="s">
        <v>188</v>
      </c>
      <c r="C113" s="16" t="n">
        <v>1040689000</v>
      </c>
      <c r="D113" s="16" t="n">
        <v>1105784000</v>
      </c>
      <c r="E113" s="10" t="n">
        <v>65095000</v>
      </c>
      <c r="F113" s="23" t="n">
        <v>6.3</v>
      </c>
    </row>
    <row r="114" customFormat="false" ht="15" hidden="false" customHeight="false" outlineLevel="0" collapsed="false">
      <c r="A114" s="7" t="s">
        <v>113</v>
      </c>
      <c r="B114" s="8" t="s">
        <v>189</v>
      </c>
      <c r="C114" s="9" t="n">
        <v>173448000</v>
      </c>
      <c r="D114" s="9" t="n">
        <v>182266000</v>
      </c>
      <c r="E114" s="10" t="n">
        <v>8818000</v>
      </c>
      <c r="F114" s="22" t="n">
        <v>5.1</v>
      </c>
    </row>
    <row r="115" customFormat="false" ht="15" hidden="false" customHeight="false" outlineLevel="0" collapsed="false">
      <c r="A115" s="14" t="s">
        <v>113</v>
      </c>
      <c r="B115" s="15" t="s">
        <v>190</v>
      </c>
      <c r="C115" s="16" t="n">
        <v>86724000</v>
      </c>
      <c r="D115" s="16" t="n">
        <v>84330000</v>
      </c>
      <c r="E115" s="16" t="n">
        <v>-2394000</v>
      </c>
      <c r="F115" s="23" t="n">
        <v>-2.8</v>
      </c>
    </row>
    <row r="116" customFormat="false" ht="15" hidden="false" customHeight="false" outlineLevel="0" collapsed="false">
      <c r="A116" s="7" t="s">
        <v>115</v>
      </c>
      <c r="B116" s="8" t="s">
        <v>185</v>
      </c>
      <c r="C116" s="9" t="n">
        <v>69814000</v>
      </c>
      <c r="D116" s="9" t="n">
        <v>70900000</v>
      </c>
      <c r="E116" s="10" t="n">
        <v>1086000</v>
      </c>
      <c r="F116" s="22" t="n">
        <v>1.6</v>
      </c>
    </row>
    <row r="117" customFormat="false" ht="15" hidden="false" customHeight="false" outlineLevel="0" collapsed="false">
      <c r="A117" s="14" t="s">
        <v>115</v>
      </c>
      <c r="B117" s="15" t="s">
        <v>186</v>
      </c>
      <c r="C117" s="16" t="n">
        <v>104720000</v>
      </c>
      <c r="D117" s="16" t="n">
        <v>101760000</v>
      </c>
      <c r="E117" s="16" t="n">
        <v>-2960000</v>
      </c>
      <c r="F117" s="23" t="n">
        <v>-2.8</v>
      </c>
    </row>
    <row r="118" customFormat="false" ht="15" hidden="false" customHeight="false" outlineLevel="0" collapsed="false">
      <c r="A118" s="7" t="s">
        <v>115</v>
      </c>
      <c r="B118" s="8" t="s">
        <v>187</v>
      </c>
      <c r="C118" s="9" t="n">
        <v>43633000</v>
      </c>
      <c r="D118" s="9" t="n">
        <v>53299000</v>
      </c>
      <c r="E118" s="10" t="n">
        <v>9666000</v>
      </c>
      <c r="F118" s="22" t="n">
        <v>22.2</v>
      </c>
    </row>
    <row r="119" customFormat="false" ht="15" hidden="false" customHeight="false" outlineLevel="0" collapsed="false">
      <c r="A119" s="14" t="s">
        <v>115</v>
      </c>
      <c r="B119" s="15" t="s">
        <v>188</v>
      </c>
      <c r="C119" s="16" t="n">
        <v>523601000</v>
      </c>
      <c r="D119" s="16" t="n">
        <v>710691000</v>
      </c>
      <c r="E119" s="10" t="n">
        <v>187090000</v>
      </c>
      <c r="F119" s="23" t="n">
        <v>35.7</v>
      </c>
    </row>
    <row r="120" customFormat="false" ht="15" hidden="false" customHeight="false" outlineLevel="0" collapsed="false">
      <c r="A120" s="7" t="s">
        <v>115</v>
      </c>
      <c r="B120" s="8" t="s">
        <v>189</v>
      </c>
      <c r="C120" s="9" t="n">
        <v>87267000</v>
      </c>
      <c r="D120" s="9" t="n">
        <v>88235000</v>
      </c>
      <c r="E120" s="10" t="n">
        <v>968000</v>
      </c>
      <c r="F120" s="22" t="n">
        <v>1.1</v>
      </c>
    </row>
    <row r="121" customFormat="false" ht="15" hidden="false" customHeight="false" outlineLevel="0" collapsed="false">
      <c r="A121" s="14" t="s">
        <v>115</v>
      </c>
      <c r="B121" s="15" t="s">
        <v>190</v>
      </c>
      <c r="C121" s="16" t="n">
        <v>43633000</v>
      </c>
      <c r="D121" s="16" t="n">
        <v>44935000</v>
      </c>
      <c r="E121" s="10" t="n">
        <v>1302000</v>
      </c>
      <c r="F121" s="23" t="n">
        <v>3</v>
      </c>
    </row>
    <row r="122" customFormat="false" ht="15" hidden="false" customHeight="false" outlineLevel="0" collapsed="false">
      <c r="A122" s="7" t="s">
        <v>117</v>
      </c>
      <c r="B122" s="8" t="s">
        <v>185</v>
      </c>
      <c r="C122" s="9" t="n">
        <v>148513000</v>
      </c>
      <c r="D122" s="9" t="n">
        <v>176808000</v>
      </c>
      <c r="E122" s="10" t="n">
        <v>28295000</v>
      </c>
      <c r="F122" s="22" t="n">
        <v>19.1</v>
      </c>
    </row>
    <row r="123" customFormat="false" ht="15" hidden="false" customHeight="false" outlineLevel="0" collapsed="false">
      <c r="A123" s="14" t="s">
        <v>117</v>
      </c>
      <c r="B123" s="15" t="s">
        <v>186</v>
      </c>
      <c r="C123" s="16" t="n">
        <v>222770000</v>
      </c>
      <c r="D123" s="16" t="n">
        <v>297342000</v>
      </c>
      <c r="E123" s="10" t="n">
        <v>74572000</v>
      </c>
      <c r="F123" s="23" t="n">
        <v>33.5</v>
      </c>
    </row>
    <row r="124" customFormat="false" ht="15" hidden="false" customHeight="false" outlineLevel="0" collapsed="false">
      <c r="A124" s="7" t="s">
        <v>117</v>
      </c>
      <c r="B124" s="8" t="s">
        <v>187</v>
      </c>
      <c r="C124" s="9" t="n">
        <v>92821000</v>
      </c>
      <c r="D124" s="9" t="n">
        <v>137929000</v>
      </c>
      <c r="E124" s="10" t="n">
        <v>45108000</v>
      </c>
      <c r="F124" s="22" t="n">
        <v>48.6</v>
      </c>
    </row>
    <row r="125" customFormat="false" ht="15" hidden="false" customHeight="false" outlineLevel="0" collapsed="false">
      <c r="A125" s="14" t="s">
        <v>117</v>
      </c>
      <c r="B125" s="15" t="s">
        <v>188</v>
      </c>
      <c r="C125" s="16" t="n">
        <v>1113850000</v>
      </c>
      <c r="D125" s="16" t="n">
        <v>1353085000</v>
      </c>
      <c r="E125" s="10" t="n">
        <v>239235000</v>
      </c>
      <c r="F125" s="23" t="n">
        <v>21.5</v>
      </c>
    </row>
    <row r="126" customFormat="false" ht="15" hidden="false" customHeight="false" outlineLevel="0" collapsed="false">
      <c r="A126" s="7" t="s">
        <v>117</v>
      </c>
      <c r="B126" s="8" t="s">
        <v>189</v>
      </c>
      <c r="C126" s="9" t="n">
        <v>185642000</v>
      </c>
      <c r="D126" s="9" t="n">
        <v>198600000</v>
      </c>
      <c r="E126" s="10" t="n">
        <v>12958000</v>
      </c>
      <c r="F126" s="22" t="n">
        <v>7</v>
      </c>
    </row>
    <row r="127" customFormat="false" ht="15" hidden="false" customHeight="false" outlineLevel="0" collapsed="false">
      <c r="A127" s="14" t="s">
        <v>117</v>
      </c>
      <c r="B127" s="15" t="s">
        <v>190</v>
      </c>
      <c r="C127" s="16" t="n">
        <v>92821000</v>
      </c>
      <c r="D127" s="16" t="n">
        <v>89137000</v>
      </c>
      <c r="E127" s="16" t="n">
        <v>-3684000</v>
      </c>
      <c r="F127" s="23" t="n">
        <v>-4</v>
      </c>
    </row>
    <row r="128" customFormat="false" ht="15" hidden="false" customHeight="false" outlineLevel="0" collapsed="false">
      <c r="A128" s="7" t="s">
        <v>119</v>
      </c>
      <c r="B128" s="8" t="s">
        <v>185</v>
      </c>
      <c r="C128" s="9" t="n">
        <v>45372000</v>
      </c>
      <c r="D128" s="9" t="n">
        <v>46119000</v>
      </c>
      <c r="E128" s="10" t="n">
        <v>747000</v>
      </c>
      <c r="F128" s="22" t="n">
        <v>1.6</v>
      </c>
    </row>
    <row r="129" customFormat="false" ht="15" hidden="false" customHeight="false" outlineLevel="0" collapsed="false">
      <c r="A129" s="14" t="s">
        <v>119</v>
      </c>
      <c r="B129" s="15" t="s">
        <v>186</v>
      </c>
      <c r="C129" s="16" t="n">
        <v>68058000</v>
      </c>
      <c r="D129" s="16" t="n">
        <v>70541000</v>
      </c>
      <c r="E129" s="10" t="n">
        <v>2483000</v>
      </c>
      <c r="F129" s="23" t="n">
        <v>3.6</v>
      </c>
    </row>
    <row r="130" customFormat="false" ht="15" hidden="false" customHeight="false" outlineLevel="0" collapsed="false">
      <c r="A130" s="7" t="s">
        <v>119</v>
      </c>
      <c r="B130" s="8" t="s">
        <v>187</v>
      </c>
      <c r="C130" s="9" t="n">
        <v>28357000</v>
      </c>
      <c r="D130" s="9" t="n">
        <v>28574000</v>
      </c>
      <c r="E130" s="10" t="n">
        <v>217000</v>
      </c>
      <c r="F130" s="22" t="n">
        <v>0.8</v>
      </c>
    </row>
    <row r="131" customFormat="false" ht="15" hidden="false" customHeight="false" outlineLevel="0" collapsed="false">
      <c r="A131" s="14" t="s">
        <v>119</v>
      </c>
      <c r="B131" s="15" t="s">
        <v>188</v>
      </c>
      <c r="C131" s="16" t="n">
        <v>340288000</v>
      </c>
      <c r="D131" s="16" t="n">
        <v>309148000</v>
      </c>
      <c r="E131" s="16" t="n">
        <v>-31140000</v>
      </c>
      <c r="F131" s="23" t="n">
        <v>-9.2</v>
      </c>
    </row>
    <row r="132" customFormat="false" ht="15" hidden="false" customHeight="false" outlineLevel="0" collapsed="false">
      <c r="A132" s="7" t="s">
        <v>119</v>
      </c>
      <c r="B132" s="8" t="s">
        <v>189</v>
      </c>
      <c r="C132" s="9" t="n">
        <v>56715000</v>
      </c>
      <c r="D132" s="9" t="n">
        <v>69220000</v>
      </c>
      <c r="E132" s="10" t="n">
        <v>12505000</v>
      </c>
      <c r="F132" s="22" t="n">
        <v>22</v>
      </c>
    </row>
    <row r="133" customFormat="false" ht="15" hidden="false" customHeight="false" outlineLevel="0" collapsed="false">
      <c r="A133" s="14" t="s">
        <v>119</v>
      </c>
      <c r="B133" s="15" t="s">
        <v>190</v>
      </c>
      <c r="C133" s="16" t="n">
        <v>28357000</v>
      </c>
      <c r="D133" s="16" t="n">
        <v>30188000</v>
      </c>
      <c r="E133" s="10" t="n">
        <v>1831000</v>
      </c>
      <c r="F133" s="23" t="n">
        <v>6.5</v>
      </c>
    </row>
    <row r="134" customFormat="false" ht="15" hidden="false" customHeight="false" outlineLevel="0" collapsed="false">
      <c r="A134" s="7" t="s">
        <v>122</v>
      </c>
      <c r="B134" s="8" t="s">
        <v>185</v>
      </c>
      <c r="C134" s="9" t="n">
        <v>13509000</v>
      </c>
      <c r="D134" s="9" t="n">
        <v>20055000</v>
      </c>
      <c r="E134" s="10" t="n">
        <v>6546000</v>
      </c>
      <c r="F134" s="22" t="n">
        <v>48.5</v>
      </c>
    </row>
    <row r="135" customFormat="false" ht="15" hidden="false" customHeight="false" outlineLevel="0" collapsed="false">
      <c r="A135" s="14" t="s">
        <v>122</v>
      </c>
      <c r="B135" s="15" t="s">
        <v>186</v>
      </c>
      <c r="C135" s="16" t="n">
        <v>20264000</v>
      </c>
      <c r="D135" s="16" t="n">
        <v>24966000</v>
      </c>
      <c r="E135" s="10" t="n">
        <v>4702000</v>
      </c>
      <c r="F135" s="23" t="n">
        <v>23.2</v>
      </c>
    </row>
    <row r="136" customFormat="false" ht="15" hidden="false" customHeight="false" outlineLevel="0" collapsed="false">
      <c r="A136" s="7" t="s">
        <v>122</v>
      </c>
      <c r="B136" s="8" t="s">
        <v>187</v>
      </c>
      <c r="C136" s="9" t="n">
        <v>8443000</v>
      </c>
      <c r="D136" s="9" t="n">
        <v>11132000</v>
      </c>
      <c r="E136" s="10" t="n">
        <v>2689000</v>
      </c>
      <c r="F136" s="22" t="n">
        <v>31.8</v>
      </c>
    </row>
    <row r="137" customFormat="false" ht="15" hidden="false" customHeight="false" outlineLevel="0" collapsed="false">
      <c r="A137" s="14" t="s">
        <v>122</v>
      </c>
      <c r="B137" s="15" t="s">
        <v>188</v>
      </c>
      <c r="C137" s="16" t="n">
        <v>101320000</v>
      </c>
      <c r="D137" s="16" t="n">
        <v>98865000</v>
      </c>
      <c r="E137" s="16" t="n">
        <v>-2455000</v>
      </c>
      <c r="F137" s="23" t="n">
        <v>-2.4</v>
      </c>
    </row>
    <row r="138" customFormat="false" ht="15" hidden="false" customHeight="false" outlineLevel="0" collapsed="false">
      <c r="A138" s="7" t="s">
        <v>122</v>
      </c>
      <c r="B138" s="8" t="s">
        <v>189</v>
      </c>
      <c r="C138" s="9" t="n">
        <v>16887000</v>
      </c>
      <c r="D138" s="9" t="n">
        <v>23998000</v>
      </c>
      <c r="E138" s="10" t="n">
        <v>7111000</v>
      </c>
      <c r="F138" s="22" t="n">
        <v>42.1</v>
      </c>
    </row>
    <row r="139" customFormat="false" ht="15" hidden="false" customHeight="false" outlineLevel="0" collapsed="false">
      <c r="A139" s="14" t="s">
        <v>122</v>
      </c>
      <c r="B139" s="15" t="s">
        <v>190</v>
      </c>
      <c r="C139" s="16" t="n">
        <v>8443000</v>
      </c>
      <c r="D139" s="16" t="n">
        <v>10085000</v>
      </c>
      <c r="E139" s="10" t="n">
        <v>1642000</v>
      </c>
      <c r="F139" s="23" t="n">
        <v>19.5</v>
      </c>
    </row>
    <row r="140" customFormat="false" ht="15" hidden="false" customHeight="false" outlineLevel="0" collapsed="false">
      <c r="A140" s="7" t="s">
        <v>125</v>
      </c>
      <c r="B140" s="8" t="s">
        <v>185</v>
      </c>
      <c r="C140" s="9" t="n">
        <v>96825000</v>
      </c>
      <c r="D140" s="9" t="n">
        <v>137843000</v>
      </c>
      <c r="E140" s="10" t="n">
        <v>41018000</v>
      </c>
      <c r="F140" s="22" t="n">
        <v>42.4</v>
      </c>
    </row>
    <row r="141" customFormat="false" ht="15" hidden="false" customHeight="false" outlineLevel="0" collapsed="false">
      <c r="A141" s="14" t="s">
        <v>125</v>
      </c>
      <c r="B141" s="15" t="s">
        <v>186</v>
      </c>
      <c r="C141" s="16" t="n">
        <v>145238000</v>
      </c>
      <c r="D141" s="16" t="n">
        <v>180740000</v>
      </c>
      <c r="E141" s="10" t="n">
        <v>35502000</v>
      </c>
      <c r="F141" s="23" t="n">
        <v>24.4</v>
      </c>
    </row>
    <row r="142" customFormat="false" ht="15" hidden="false" customHeight="false" outlineLevel="0" collapsed="false">
      <c r="A142" s="7" t="s">
        <v>125</v>
      </c>
      <c r="B142" s="8" t="s">
        <v>187</v>
      </c>
      <c r="C142" s="9" t="n">
        <v>60516000</v>
      </c>
      <c r="D142" s="9" t="n">
        <v>71508000</v>
      </c>
      <c r="E142" s="10" t="n">
        <v>10992000</v>
      </c>
      <c r="F142" s="22" t="n">
        <v>18.2</v>
      </c>
    </row>
    <row r="143" customFormat="false" ht="15" hidden="false" customHeight="false" outlineLevel="0" collapsed="false">
      <c r="A143" s="14" t="s">
        <v>125</v>
      </c>
      <c r="B143" s="15" t="s">
        <v>188</v>
      </c>
      <c r="C143" s="16" t="n">
        <v>726191000</v>
      </c>
      <c r="D143" s="16" t="n">
        <v>845491000</v>
      </c>
      <c r="E143" s="10" t="n">
        <v>119300000</v>
      </c>
      <c r="F143" s="23" t="n">
        <v>16.4</v>
      </c>
    </row>
    <row r="144" customFormat="false" ht="15" hidden="false" customHeight="false" outlineLevel="0" collapsed="false">
      <c r="A144" s="7" t="s">
        <v>125</v>
      </c>
      <c r="B144" s="8" t="s">
        <v>189</v>
      </c>
      <c r="C144" s="9" t="n">
        <v>121032000</v>
      </c>
      <c r="D144" s="9" t="n">
        <v>122317000</v>
      </c>
      <c r="E144" s="10" t="n">
        <v>1285000</v>
      </c>
      <c r="F144" s="22" t="n">
        <v>1.1</v>
      </c>
    </row>
    <row r="145" customFormat="false" ht="15" hidden="false" customHeight="false" outlineLevel="0" collapsed="false">
      <c r="A145" s="14" t="s">
        <v>125</v>
      </c>
      <c r="B145" s="15" t="s">
        <v>190</v>
      </c>
      <c r="C145" s="16" t="n">
        <v>60516000</v>
      </c>
      <c r="D145" s="16" t="n">
        <v>56330000</v>
      </c>
      <c r="E145" s="16" t="n">
        <v>-4186000</v>
      </c>
      <c r="F145" s="23" t="n">
        <v>-6.9</v>
      </c>
    </row>
    <row r="146" customFormat="false" ht="15" hidden="false" customHeight="false" outlineLevel="0" collapsed="false">
      <c r="A146" s="7" t="s">
        <v>127</v>
      </c>
      <c r="B146" s="8" t="s">
        <v>185</v>
      </c>
      <c r="C146" s="9" t="n">
        <v>92175000</v>
      </c>
      <c r="D146" s="9" t="n">
        <v>135003000</v>
      </c>
      <c r="E146" s="10" t="n">
        <v>42828000</v>
      </c>
      <c r="F146" s="22" t="n">
        <v>46.5</v>
      </c>
    </row>
    <row r="147" customFormat="false" ht="15" hidden="false" customHeight="false" outlineLevel="0" collapsed="false">
      <c r="A147" s="14" t="s">
        <v>127</v>
      </c>
      <c r="B147" s="15" t="s">
        <v>186</v>
      </c>
      <c r="C147" s="16" t="n">
        <v>138263000</v>
      </c>
      <c r="D147" s="16" t="n">
        <v>164068000</v>
      </c>
      <c r="E147" s="10" t="n">
        <v>25805000</v>
      </c>
      <c r="F147" s="23" t="n">
        <v>18.7</v>
      </c>
    </row>
    <row r="148" customFormat="false" ht="15" hidden="false" customHeight="false" outlineLevel="0" collapsed="false">
      <c r="A148" s="7" t="s">
        <v>127</v>
      </c>
      <c r="B148" s="8" t="s">
        <v>187</v>
      </c>
      <c r="C148" s="9" t="n">
        <v>57610000</v>
      </c>
      <c r="D148" s="9" t="n">
        <v>80266000</v>
      </c>
      <c r="E148" s="10" t="n">
        <v>22656000</v>
      </c>
      <c r="F148" s="22" t="n">
        <v>39.3</v>
      </c>
    </row>
    <row r="149" customFormat="false" ht="15" hidden="false" customHeight="false" outlineLevel="0" collapsed="false">
      <c r="A149" s="14" t="s">
        <v>127</v>
      </c>
      <c r="B149" s="15" t="s">
        <v>188</v>
      </c>
      <c r="C149" s="16" t="n">
        <v>691316000</v>
      </c>
      <c r="D149" s="16" t="n">
        <v>788394000</v>
      </c>
      <c r="E149" s="10" t="n">
        <v>97078000</v>
      </c>
      <c r="F149" s="23" t="n">
        <v>14</v>
      </c>
    </row>
    <row r="150" customFormat="false" ht="15" hidden="false" customHeight="false" outlineLevel="0" collapsed="false">
      <c r="A150" s="7" t="s">
        <v>127</v>
      </c>
      <c r="B150" s="8" t="s">
        <v>189</v>
      </c>
      <c r="C150" s="9" t="n">
        <v>115219000</v>
      </c>
      <c r="D150" s="9" t="n">
        <v>108819000</v>
      </c>
      <c r="E150" s="9" t="n">
        <v>-6400000</v>
      </c>
      <c r="F150" s="22" t="n">
        <v>-5.6</v>
      </c>
    </row>
    <row r="151" customFormat="false" ht="15" hidden="false" customHeight="false" outlineLevel="0" collapsed="false">
      <c r="A151" s="14" t="s">
        <v>127</v>
      </c>
      <c r="B151" s="15" t="s">
        <v>190</v>
      </c>
      <c r="C151" s="16" t="n">
        <v>57610000</v>
      </c>
      <c r="D151" s="16" t="n">
        <v>73606000</v>
      </c>
      <c r="E151" s="10" t="n">
        <v>15996000</v>
      </c>
      <c r="F151" s="23" t="n">
        <v>27.8</v>
      </c>
    </row>
    <row r="152" customFormat="false" ht="15" hidden="false" customHeight="false" outlineLevel="0" collapsed="false">
      <c r="A152" s="7" t="s">
        <v>129</v>
      </c>
      <c r="B152" s="8" t="s">
        <v>185</v>
      </c>
      <c r="C152" s="9" t="n">
        <v>148927000</v>
      </c>
      <c r="D152" s="9" t="n">
        <v>138825000</v>
      </c>
      <c r="E152" s="9" t="n">
        <v>-10102000</v>
      </c>
      <c r="F152" s="22" t="n">
        <v>-6.8</v>
      </c>
    </row>
    <row r="153" customFormat="false" ht="15" hidden="false" customHeight="false" outlineLevel="0" collapsed="false">
      <c r="A153" s="14" t="s">
        <v>129</v>
      </c>
      <c r="B153" s="15" t="s">
        <v>186</v>
      </c>
      <c r="C153" s="16" t="n">
        <v>223390000</v>
      </c>
      <c r="D153" s="16" t="n">
        <v>221049000</v>
      </c>
      <c r="E153" s="16" t="n">
        <v>-2341000</v>
      </c>
      <c r="F153" s="23" t="n">
        <v>-1</v>
      </c>
    </row>
    <row r="154" customFormat="false" ht="15" hidden="false" customHeight="false" outlineLevel="0" collapsed="false">
      <c r="A154" s="7" t="s">
        <v>129</v>
      </c>
      <c r="B154" s="8" t="s">
        <v>187</v>
      </c>
      <c r="C154" s="9" t="n">
        <v>93079000</v>
      </c>
      <c r="D154" s="9" t="n">
        <v>115204000</v>
      </c>
      <c r="E154" s="10" t="n">
        <v>22125000</v>
      </c>
      <c r="F154" s="22" t="n">
        <v>23.8</v>
      </c>
    </row>
    <row r="155" customFormat="false" ht="15" hidden="false" customHeight="false" outlineLevel="0" collapsed="false">
      <c r="A155" s="14" t="s">
        <v>129</v>
      </c>
      <c r="B155" s="15" t="s">
        <v>188</v>
      </c>
      <c r="C155" s="16" t="n">
        <v>1116952000</v>
      </c>
      <c r="D155" s="16" t="n">
        <v>1208879000</v>
      </c>
      <c r="E155" s="10" t="n">
        <v>91927000</v>
      </c>
      <c r="F155" s="23" t="n">
        <v>8.2</v>
      </c>
    </row>
    <row r="156" customFormat="false" ht="15" hidden="false" customHeight="false" outlineLevel="0" collapsed="false">
      <c r="A156" s="7" t="s">
        <v>129</v>
      </c>
      <c r="B156" s="8" t="s">
        <v>189</v>
      </c>
      <c r="C156" s="9" t="n">
        <v>186159000</v>
      </c>
      <c r="D156" s="9" t="n">
        <v>278559000</v>
      </c>
      <c r="E156" s="10" t="n">
        <v>92400000</v>
      </c>
      <c r="F156" s="22" t="n">
        <v>49.6</v>
      </c>
    </row>
    <row r="157" customFormat="false" ht="15" hidden="false" customHeight="false" outlineLevel="0" collapsed="false">
      <c r="A157" s="14" t="s">
        <v>129</v>
      </c>
      <c r="B157" s="15" t="s">
        <v>190</v>
      </c>
      <c r="C157" s="16" t="n">
        <v>93079000</v>
      </c>
      <c r="D157" s="16" t="n">
        <v>90386000</v>
      </c>
      <c r="E157" s="16" t="n">
        <v>-2693000</v>
      </c>
      <c r="F157" s="23" t="n">
        <v>-2.9</v>
      </c>
    </row>
    <row r="158" customFormat="false" ht="15" hidden="false" customHeight="false" outlineLevel="0" collapsed="false">
      <c r="A158" s="7" t="s">
        <v>131</v>
      </c>
      <c r="B158" s="8" t="s">
        <v>185</v>
      </c>
      <c r="C158" s="9" t="n">
        <v>141415000</v>
      </c>
      <c r="D158" s="9" t="n">
        <v>192136000</v>
      </c>
      <c r="E158" s="10" t="n">
        <v>50721000</v>
      </c>
      <c r="F158" s="22" t="n">
        <v>35.9</v>
      </c>
    </row>
    <row r="159" customFormat="false" ht="15" hidden="false" customHeight="false" outlineLevel="0" collapsed="false">
      <c r="A159" s="14" t="s">
        <v>131</v>
      </c>
      <c r="B159" s="15" t="s">
        <v>186</v>
      </c>
      <c r="C159" s="16" t="n">
        <v>212122000</v>
      </c>
      <c r="D159" s="16" t="n">
        <v>268078000</v>
      </c>
      <c r="E159" s="10" t="n">
        <v>55956000</v>
      </c>
      <c r="F159" s="23" t="n">
        <v>26.4</v>
      </c>
    </row>
    <row r="160" customFormat="false" ht="15" hidden="false" customHeight="false" outlineLevel="0" collapsed="false">
      <c r="A160" s="7" t="s">
        <v>131</v>
      </c>
      <c r="B160" s="8" t="s">
        <v>187</v>
      </c>
      <c r="C160" s="9" t="n">
        <v>88384000</v>
      </c>
      <c r="D160" s="9" t="n">
        <v>121479000</v>
      </c>
      <c r="E160" s="10" t="n">
        <v>33095000</v>
      </c>
      <c r="F160" s="22" t="n">
        <v>37.4</v>
      </c>
    </row>
    <row r="161" customFormat="false" ht="15" hidden="false" customHeight="false" outlineLevel="0" collapsed="false">
      <c r="A161" s="14" t="s">
        <v>131</v>
      </c>
      <c r="B161" s="15" t="s">
        <v>188</v>
      </c>
      <c r="C161" s="16" t="n">
        <v>1060611000</v>
      </c>
      <c r="D161" s="16" t="n">
        <v>1098170000</v>
      </c>
      <c r="E161" s="10" t="n">
        <v>37559000</v>
      </c>
      <c r="F161" s="23" t="n">
        <v>3.5</v>
      </c>
    </row>
    <row r="162" customFormat="false" ht="15" hidden="false" customHeight="false" outlineLevel="0" collapsed="false">
      <c r="A162" s="7" t="s">
        <v>131</v>
      </c>
      <c r="B162" s="8" t="s">
        <v>189</v>
      </c>
      <c r="C162" s="9" t="n">
        <v>176768000</v>
      </c>
      <c r="D162" s="9" t="n">
        <v>214516000</v>
      </c>
      <c r="E162" s="10" t="n">
        <v>37748000</v>
      </c>
      <c r="F162" s="22" t="n">
        <v>21.4</v>
      </c>
    </row>
    <row r="163" customFormat="false" ht="15" hidden="false" customHeight="false" outlineLevel="0" collapsed="false">
      <c r="A163" s="14" t="s">
        <v>131</v>
      </c>
      <c r="B163" s="15" t="s">
        <v>190</v>
      </c>
      <c r="C163" s="16" t="n">
        <v>88384000</v>
      </c>
      <c r="D163" s="16" t="n">
        <v>103437000</v>
      </c>
      <c r="E163" s="10" t="n">
        <v>15053000</v>
      </c>
      <c r="F163" s="23" t="n">
        <v>17</v>
      </c>
    </row>
    <row r="164" customFormat="false" ht="15" hidden="false" customHeight="false" outlineLevel="0" collapsed="false">
      <c r="A164" s="7" t="s">
        <v>133</v>
      </c>
      <c r="B164" s="8" t="s">
        <v>185</v>
      </c>
      <c r="C164" s="9" t="n">
        <v>50703000</v>
      </c>
      <c r="D164" s="9" t="n">
        <v>59101000</v>
      </c>
      <c r="E164" s="10" t="n">
        <v>8398000</v>
      </c>
      <c r="F164" s="22" t="n">
        <v>16.6</v>
      </c>
    </row>
    <row r="165" customFormat="false" ht="15" hidden="false" customHeight="false" outlineLevel="0" collapsed="false">
      <c r="A165" s="14" t="s">
        <v>133</v>
      </c>
      <c r="B165" s="15" t="s">
        <v>186</v>
      </c>
      <c r="C165" s="16" t="n">
        <v>76055000</v>
      </c>
      <c r="D165" s="16" t="n">
        <v>107701000</v>
      </c>
      <c r="E165" s="10" t="n">
        <v>31646000</v>
      </c>
      <c r="F165" s="23" t="n">
        <v>41.6</v>
      </c>
    </row>
    <row r="166" customFormat="false" ht="15" hidden="false" customHeight="false" outlineLevel="0" collapsed="false">
      <c r="A166" s="7" t="s">
        <v>133</v>
      </c>
      <c r="B166" s="8" t="s">
        <v>187</v>
      </c>
      <c r="C166" s="9" t="n">
        <v>31689000</v>
      </c>
      <c r="D166" s="9" t="n">
        <v>47344000</v>
      </c>
      <c r="E166" s="10" t="n">
        <v>15655000</v>
      </c>
      <c r="F166" s="22" t="n">
        <v>49.4</v>
      </c>
    </row>
    <row r="167" customFormat="false" ht="15" hidden="false" customHeight="false" outlineLevel="0" collapsed="false">
      <c r="A167" s="14" t="s">
        <v>133</v>
      </c>
      <c r="B167" s="15" t="s">
        <v>188</v>
      </c>
      <c r="C167" s="16" t="n">
        <v>380273000</v>
      </c>
      <c r="D167" s="16" t="n">
        <v>411922000</v>
      </c>
      <c r="E167" s="10" t="n">
        <v>31649000</v>
      </c>
      <c r="F167" s="23" t="n">
        <v>8.3</v>
      </c>
    </row>
    <row r="168" customFormat="false" ht="15" hidden="false" customHeight="false" outlineLevel="0" collapsed="false">
      <c r="A168" s="7" t="s">
        <v>133</v>
      </c>
      <c r="B168" s="8" t="s">
        <v>189</v>
      </c>
      <c r="C168" s="9" t="n">
        <v>63379000</v>
      </c>
      <c r="D168" s="9" t="n">
        <v>80657000</v>
      </c>
      <c r="E168" s="10" t="n">
        <v>17278000</v>
      </c>
      <c r="F168" s="22" t="n">
        <v>27.3</v>
      </c>
    </row>
    <row r="169" customFormat="false" ht="15" hidden="false" customHeight="false" outlineLevel="0" collapsed="false">
      <c r="A169" s="14" t="s">
        <v>133</v>
      </c>
      <c r="B169" s="15" t="s">
        <v>190</v>
      </c>
      <c r="C169" s="16" t="n">
        <v>31689000</v>
      </c>
      <c r="D169" s="16" t="n">
        <v>40111000</v>
      </c>
      <c r="E169" s="10" t="n">
        <v>8422000</v>
      </c>
      <c r="F169" s="23" t="n">
        <v>26.6</v>
      </c>
    </row>
    <row r="170" customFormat="false" ht="15" hidden="false" customHeight="false" outlineLevel="0" collapsed="false">
      <c r="A170" s="7" t="s">
        <v>135</v>
      </c>
      <c r="B170" s="8" t="s">
        <v>185</v>
      </c>
      <c r="C170" s="9" t="n">
        <v>35761000</v>
      </c>
      <c r="D170" s="9" t="n">
        <v>48065000</v>
      </c>
      <c r="E170" s="10" t="n">
        <v>12304000</v>
      </c>
      <c r="F170" s="22" t="n">
        <v>34.4</v>
      </c>
    </row>
    <row r="171" customFormat="false" ht="15" hidden="false" customHeight="false" outlineLevel="0" collapsed="false">
      <c r="A171" s="14" t="s">
        <v>135</v>
      </c>
      <c r="B171" s="15" t="s">
        <v>186</v>
      </c>
      <c r="C171" s="16" t="n">
        <v>53642000</v>
      </c>
      <c r="D171" s="16" t="n">
        <v>78776000</v>
      </c>
      <c r="E171" s="10" t="n">
        <v>25134000</v>
      </c>
      <c r="F171" s="23" t="n">
        <v>46.9</v>
      </c>
    </row>
    <row r="172" customFormat="false" ht="15" hidden="false" customHeight="false" outlineLevel="0" collapsed="false">
      <c r="A172" s="7" t="s">
        <v>135</v>
      </c>
      <c r="B172" s="8" t="s">
        <v>187</v>
      </c>
      <c r="C172" s="9" t="n">
        <v>22351000</v>
      </c>
      <c r="D172" s="9" t="n">
        <v>22902000</v>
      </c>
      <c r="E172" s="10" t="n">
        <v>551000</v>
      </c>
      <c r="F172" s="22" t="n">
        <v>2.5</v>
      </c>
    </row>
    <row r="173" customFormat="false" ht="15" hidden="false" customHeight="false" outlineLevel="0" collapsed="false">
      <c r="A173" s="14" t="s">
        <v>135</v>
      </c>
      <c r="B173" s="15" t="s">
        <v>188</v>
      </c>
      <c r="C173" s="16" t="n">
        <v>268209000</v>
      </c>
      <c r="D173" s="16" t="n">
        <v>275347000</v>
      </c>
      <c r="E173" s="10" t="n">
        <v>7138000</v>
      </c>
      <c r="F173" s="23" t="n">
        <v>2.7</v>
      </c>
    </row>
    <row r="174" customFormat="false" ht="15" hidden="false" customHeight="false" outlineLevel="0" collapsed="false">
      <c r="A174" s="7" t="s">
        <v>135</v>
      </c>
      <c r="B174" s="8" t="s">
        <v>189</v>
      </c>
      <c r="C174" s="9" t="n">
        <v>44702000</v>
      </c>
      <c r="D174" s="9" t="n">
        <v>57945000</v>
      </c>
      <c r="E174" s="10" t="n">
        <v>13243000</v>
      </c>
      <c r="F174" s="22" t="n">
        <v>29.6</v>
      </c>
    </row>
    <row r="175" customFormat="false" ht="15" hidden="false" customHeight="false" outlineLevel="0" collapsed="false">
      <c r="A175" s="14" t="s">
        <v>135</v>
      </c>
      <c r="B175" s="15" t="s">
        <v>190</v>
      </c>
      <c r="C175" s="16" t="n">
        <v>22351000</v>
      </c>
      <c r="D175" s="16" t="n">
        <v>22222000</v>
      </c>
      <c r="E175" s="16" t="n">
        <v>-129000</v>
      </c>
      <c r="F175" s="23" t="n">
        <v>-0.6</v>
      </c>
    </row>
    <row r="176" customFormat="false" ht="15" hidden="false" customHeight="false" outlineLevel="0" collapsed="false">
      <c r="A176" s="7" t="s">
        <v>138</v>
      </c>
      <c r="B176" s="8" t="s">
        <v>185</v>
      </c>
      <c r="C176" s="9" t="n">
        <v>124295000</v>
      </c>
      <c r="D176" s="9" t="n">
        <v>124828000</v>
      </c>
      <c r="E176" s="10" t="n">
        <v>533000</v>
      </c>
      <c r="F176" s="22" t="n">
        <v>0.4</v>
      </c>
    </row>
    <row r="177" customFormat="false" ht="15" hidden="false" customHeight="false" outlineLevel="0" collapsed="false">
      <c r="A177" s="14" t="s">
        <v>138</v>
      </c>
      <c r="B177" s="15" t="s">
        <v>186</v>
      </c>
      <c r="C177" s="16" t="n">
        <v>186442000</v>
      </c>
      <c r="D177" s="16" t="n">
        <v>176195000</v>
      </c>
      <c r="E177" s="16" t="n">
        <v>-10247000</v>
      </c>
      <c r="F177" s="23" t="n">
        <v>-5.5</v>
      </c>
    </row>
    <row r="178" customFormat="false" ht="15" hidden="false" customHeight="false" outlineLevel="0" collapsed="false">
      <c r="A178" s="7" t="s">
        <v>138</v>
      </c>
      <c r="B178" s="8" t="s">
        <v>187</v>
      </c>
      <c r="C178" s="9" t="n">
        <v>77684000</v>
      </c>
      <c r="D178" s="9" t="n">
        <v>70040000</v>
      </c>
      <c r="E178" s="9" t="n">
        <v>-7644000</v>
      </c>
      <c r="F178" s="22" t="n">
        <v>-9.8</v>
      </c>
    </row>
    <row r="179" customFormat="false" ht="15" hidden="false" customHeight="false" outlineLevel="0" collapsed="false">
      <c r="A179" s="14" t="s">
        <v>138</v>
      </c>
      <c r="B179" s="15" t="s">
        <v>188</v>
      </c>
      <c r="C179" s="16" t="n">
        <v>932209000</v>
      </c>
      <c r="D179" s="16" t="n">
        <v>1090966000</v>
      </c>
      <c r="E179" s="10" t="n">
        <v>158757000</v>
      </c>
      <c r="F179" s="23" t="n">
        <v>17</v>
      </c>
    </row>
    <row r="180" customFormat="false" ht="15" hidden="false" customHeight="false" outlineLevel="0" collapsed="false">
      <c r="A180" s="7" t="s">
        <v>138</v>
      </c>
      <c r="B180" s="8" t="s">
        <v>189</v>
      </c>
      <c r="C180" s="9" t="n">
        <v>155368000</v>
      </c>
      <c r="D180" s="9" t="n">
        <v>195187000</v>
      </c>
      <c r="E180" s="10" t="n">
        <v>39819000</v>
      </c>
      <c r="F180" s="22" t="n">
        <v>25.6</v>
      </c>
    </row>
    <row r="181" customFormat="false" ht="15" hidden="false" customHeight="false" outlineLevel="0" collapsed="false">
      <c r="A181" s="14" t="s">
        <v>138</v>
      </c>
      <c r="B181" s="15" t="s">
        <v>190</v>
      </c>
      <c r="C181" s="16" t="n">
        <v>77684000</v>
      </c>
      <c r="D181" s="16" t="n">
        <v>83491000</v>
      </c>
      <c r="E181" s="10" t="n">
        <v>5807000</v>
      </c>
      <c r="F181" s="23" t="n">
        <v>7.5</v>
      </c>
    </row>
    <row r="182" customFormat="false" ht="15" hidden="false" customHeight="false" outlineLevel="0" collapsed="false">
      <c r="A182" s="7" t="s">
        <v>140</v>
      </c>
      <c r="B182" s="8" t="s">
        <v>185</v>
      </c>
      <c r="C182" s="9" t="n">
        <v>151428000</v>
      </c>
      <c r="D182" s="9" t="n">
        <v>157316000</v>
      </c>
      <c r="E182" s="10" t="n">
        <v>5888000</v>
      </c>
      <c r="F182" s="22" t="n">
        <v>3.9</v>
      </c>
    </row>
    <row r="183" customFormat="false" ht="15" hidden="false" customHeight="false" outlineLevel="0" collapsed="false">
      <c r="A183" s="14" t="s">
        <v>140</v>
      </c>
      <c r="B183" s="15" t="s">
        <v>186</v>
      </c>
      <c r="C183" s="16" t="n">
        <v>227142000</v>
      </c>
      <c r="D183" s="16" t="n">
        <v>300775000</v>
      </c>
      <c r="E183" s="10" t="n">
        <v>73633000</v>
      </c>
      <c r="F183" s="23" t="n">
        <v>32.4</v>
      </c>
    </row>
    <row r="184" customFormat="false" ht="15" hidden="false" customHeight="false" outlineLevel="0" collapsed="false">
      <c r="A184" s="7" t="s">
        <v>140</v>
      </c>
      <c r="B184" s="8" t="s">
        <v>187</v>
      </c>
      <c r="C184" s="9" t="n">
        <v>94642000</v>
      </c>
      <c r="D184" s="9" t="n">
        <v>125097000</v>
      </c>
      <c r="E184" s="10" t="n">
        <v>30455000</v>
      </c>
      <c r="F184" s="22" t="n">
        <v>32.2</v>
      </c>
    </row>
    <row r="185" customFormat="false" ht="15" hidden="false" customHeight="false" outlineLevel="0" collapsed="false">
      <c r="A185" s="14" t="s">
        <v>140</v>
      </c>
      <c r="B185" s="15" t="s">
        <v>188</v>
      </c>
      <c r="C185" s="16" t="n">
        <v>1135709000</v>
      </c>
      <c r="D185" s="16" t="n">
        <v>1331527000</v>
      </c>
      <c r="E185" s="10" t="n">
        <v>195818000</v>
      </c>
      <c r="F185" s="23" t="n">
        <v>17.2</v>
      </c>
    </row>
    <row r="186" customFormat="false" ht="15" hidden="false" customHeight="false" outlineLevel="0" collapsed="false">
      <c r="A186" s="7" t="s">
        <v>140</v>
      </c>
      <c r="B186" s="8" t="s">
        <v>189</v>
      </c>
      <c r="C186" s="9" t="n">
        <v>189285000</v>
      </c>
      <c r="D186" s="9" t="n">
        <v>248423000</v>
      </c>
      <c r="E186" s="10" t="n">
        <v>59138000</v>
      </c>
      <c r="F186" s="22" t="n">
        <v>31.2</v>
      </c>
    </row>
    <row r="187" customFormat="false" ht="15" hidden="false" customHeight="false" outlineLevel="0" collapsed="false">
      <c r="A187" s="14" t="s">
        <v>140</v>
      </c>
      <c r="B187" s="15" t="s">
        <v>190</v>
      </c>
      <c r="C187" s="16" t="n">
        <v>94642000</v>
      </c>
      <c r="D187" s="16" t="n">
        <v>137642000</v>
      </c>
      <c r="E187" s="10" t="n">
        <v>43000000</v>
      </c>
      <c r="F187" s="23" t="n">
        <v>45.4</v>
      </c>
    </row>
    <row r="188" customFormat="false" ht="15" hidden="false" customHeight="false" outlineLevel="0" collapsed="false">
      <c r="A188" s="7" t="s">
        <v>142</v>
      </c>
      <c r="B188" s="8" t="s">
        <v>185</v>
      </c>
      <c r="C188" s="9" t="n">
        <v>60886000</v>
      </c>
      <c r="D188" s="9" t="n">
        <v>83578000</v>
      </c>
      <c r="E188" s="10" t="n">
        <v>22692000</v>
      </c>
      <c r="F188" s="22" t="n">
        <v>37.3</v>
      </c>
    </row>
    <row r="189" customFormat="false" ht="15" hidden="false" customHeight="false" outlineLevel="0" collapsed="false">
      <c r="A189" s="14" t="s">
        <v>142</v>
      </c>
      <c r="B189" s="15" t="s">
        <v>186</v>
      </c>
      <c r="C189" s="16" t="n">
        <v>91328000</v>
      </c>
      <c r="D189" s="16" t="n">
        <v>116446000</v>
      </c>
      <c r="E189" s="10" t="n">
        <v>25118000</v>
      </c>
      <c r="F189" s="23" t="n">
        <v>27.5</v>
      </c>
    </row>
    <row r="190" customFormat="false" ht="15" hidden="false" customHeight="false" outlineLevel="0" collapsed="false">
      <c r="A190" s="7" t="s">
        <v>142</v>
      </c>
      <c r="B190" s="8" t="s">
        <v>187</v>
      </c>
      <c r="C190" s="9" t="n">
        <v>38054000</v>
      </c>
      <c r="D190" s="9" t="n">
        <v>49345000</v>
      </c>
      <c r="E190" s="10" t="n">
        <v>11291000</v>
      </c>
      <c r="F190" s="22" t="n">
        <v>29.7</v>
      </c>
    </row>
    <row r="191" customFormat="false" ht="15" hidden="false" customHeight="false" outlineLevel="0" collapsed="false">
      <c r="A191" s="14" t="s">
        <v>142</v>
      </c>
      <c r="B191" s="15" t="s">
        <v>188</v>
      </c>
      <c r="C191" s="16" t="n">
        <v>456642000</v>
      </c>
      <c r="D191" s="16" t="n">
        <v>666789000</v>
      </c>
      <c r="E191" s="10" t="n">
        <v>210147000</v>
      </c>
      <c r="F191" s="23" t="n">
        <v>46</v>
      </c>
    </row>
    <row r="192" customFormat="false" ht="15" hidden="false" customHeight="false" outlineLevel="0" collapsed="false">
      <c r="A192" s="7" t="s">
        <v>142</v>
      </c>
      <c r="B192" s="8" t="s">
        <v>189</v>
      </c>
      <c r="C192" s="9" t="n">
        <v>76107000</v>
      </c>
      <c r="D192" s="9" t="n">
        <v>87910000</v>
      </c>
      <c r="E192" s="10" t="n">
        <v>11803000</v>
      </c>
      <c r="F192" s="22" t="n">
        <v>15.5</v>
      </c>
    </row>
    <row r="193" customFormat="false" ht="15" hidden="false" customHeight="false" outlineLevel="0" collapsed="false">
      <c r="A193" s="14" t="s">
        <v>142</v>
      </c>
      <c r="B193" s="15" t="s">
        <v>190</v>
      </c>
      <c r="C193" s="16" t="n">
        <v>38054000</v>
      </c>
      <c r="D193" s="16" t="n">
        <v>46682000</v>
      </c>
      <c r="E193" s="10" t="n">
        <v>8628000</v>
      </c>
      <c r="F193" s="23" t="n">
        <v>22.7</v>
      </c>
    </row>
    <row r="194" customFormat="false" ht="15" hidden="false" customHeight="false" outlineLevel="0" collapsed="false">
      <c r="A194" s="7" t="s">
        <v>145</v>
      </c>
      <c r="B194" s="8" t="s">
        <v>185</v>
      </c>
      <c r="C194" s="9" t="n">
        <v>120918000</v>
      </c>
      <c r="D194" s="9" t="n">
        <v>155813000</v>
      </c>
      <c r="E194" s="10" t="n">
        <v>34895000</v>
      </c>
      <c r="F194" s="22" t="n">
        <v>28.9</v>
      </c>
    </row>
    <row r="195" customFormat="false" ht="15" hidden="false" customHeight="false" outlineLevel="0" collapsed="false">
      <c r="A195" s="14" t="s">
        <v>145</v>
      </c>
      <c r="B195" s="15" t="s">
        <v>186</v>
      </c>
      <c r="C195" s="16" t="n">
        <v>181378000</v>
      </c>
      <c r="D195" s="16" t="n">
        <v>262100000</v>
      </c>
      <c r="E195" s="10" t="n">
        <v>80722000</v>
      </c>
      <c r="F195" s="23" t="n">
        <v>44.5</v>
      </c>
    </row>
    <row r="196" customFormat="false" ht="15" hidden="false" customHeight="false" outlineLevel="0" collapsed="false">
      <c r="A196" s="7" t="s">
        <v>145</v>
      </c>
      <c r="B196" s="8" t="s">
        <v>187</v>
      </c>
      <c r="C196" s="9" t="n">
        <v>75574000</v>
      </c>
      <c r="D196" s="9" t="n">
        <v>105500000</v>
      </c>
      <c r="E196" s="10" t="n">
        <v>29926000</v>
      </c>
      <c r="F196" s="22" t="n">
        <v>39.6</v>
      </c>
    </row>
    <row r="197" customFormat="false" ht="15" hidden="false" customHeight="false" outlineLevel="0" collapsed="false">
      <c r="A197" s="14" t="s">
        <v>145</v>
      </c>
      <c r="B197" s="15" t="s">
        <v>188</v>
      </c>
      <c r="C197" s="16" t="n">
        <v>906889000</v>
      </c>
      <c r="D197" s="16" t="n">
        <v>855057000</v>
      </c>
      <c r="E197" s="16" t="n">
        <v>-51832000</v>
      </c>
      <c r="F197" s="23" t="n">
        <v>-5.7</v>
      </c>
    </row>
    <row r="198" customFormat="false" ht="15" hidden="false" customHeight="false" outlineLevel="0" collapsed="false">
      <c r="A198" s="7" t="s">
        <v>145</v>
      </c>
      <c r="B198" s="8" t="s">
        <v>189</v>
      </c>
      <c r="C198" s="9" t="n">
        <v>151148000</v>
      </c>
      <c r="D198" s="9" t="n">
        <v>151081000</v>
      </c>
      <c r="E198" s="9" t="n">
        <v>-67000</v>
      </c>
      <c r="F198" s="22" t="n">
        <v>0</v>
      </c>
    </row>
    <row r="199" customFormat="false" ht="15" hidden="false" customHeight="false" outlineLevel="0" collapsed="false">
      <c r="A199" s="14" t="s">
        <v>145</v>
      </c>
      <c r="B199" s="15" t="s">
        <v>190</v>
      </c>
      <c r="C199" s="16" t="n">
        <v>75574000</v>
      </c>
      <c r="D199" s="16" t="n">
        <v>81965000</v>
      </c>
      <c r="E199" s="10" t="n">
        <v>6391000</v>
      </c>
      <c r="F199" s="23" t="n">
        <v>8.5</v>
      </c>
    </row>
    <row r="200" customFormat="false" ht="15" hidden="false" customHeight="false" outlineLevel="0" collapsed="false">
      <c r="A200" s="7" t="s">
        <v>147</v>
      </c>
      <c r="B200" s="8" t="s">
        <v>185</v>
      </c>
      <c r="C200" s="9" t="n">
        <v>28835000</v>
      </c>
      <c r="D200" s="9" t="n">
        <v>38909000</v>
      </c>
      <c r="E200" s="10" t="n">
        <v>10074000</v>
      </c>
      <c r="F200" s="22" t="n">
        <v>34.9</v>
      </c>
    </row>
    <row r="201" customFormat="false" ht="15" hidden="false" customHeight="false" outlineLevel="0" collapsed="false">
      <c r="A201" s="14" t="s">
        <v>147</v>
      </c>
      <c r="B201" s="15" t="s">
        <v>186</v>
      </c>
      <c r="C201" s="16" t="n">
        <v>43252000</v>
      </c>
      <c r="D201" s="16" t="n">
        <v>53698000</v>
      </c>
      <c r="E201" s="10" t="n">
        <v>10446000</v>
      </c>
      <c r="F201" s="23" t="n">
        <v>24.2</v>
      </c>
    </row>
    <row r="202" customFormat="false" ht="15" hidden="false" customHeight="false" outlineLevel="0" collapsed="false">
      <c r="A202" s="7" t="s">
        <v>147</v>
      </c>
      <c r="B202" s="8" t="s">
        <v>187</v>
      </c>
      <c r="C202" s="9" t="n">
        <v>18022000</v>
      </c>
      <c r="D202" s="9" t="n">
        <v>19341000</v>
      </c>
      <c r="E202" s="10" t="n">
        <v>1319000</v>
      </c>
      <c r="F202" s="22" t="n">
        <v>7.3</v>
      </c>
    </row>
    <row r="203" customFormat="false" ht="15" hidden="false" customHeight="false" outlineLevel="0" collapsed="false">
      <c r="A203" s="14" t="s">
        <v>147</v>
      </c>
      <c r="B203" s="15" t="s">
        <v>188</v>
      </c>
      <c r="C203" s="16" t="n">
        <v>216262000</v>
      </c>
      <c r="D203" s="16" t="n">
        <v>210772000</v>
      </c>
      <c r="E203" s="16" t="n">
        <v>-5490000</v>
      </c>
      <c r="F203" s="23" t="n">
        <v>-2.5</v>
      </c>
    </row>
    <row r="204" customFormat="false" ht="15" hidden="false" customHeight="false" outlineLevel="0" collapsed="false">
      <c r="A204" s="7" t="s">
        <v>147</v>
      </c>
      <c r="B204" s="8" t="s">
        <v>189</v>
      </c>
      <c r="C204" s="9" t="n">
        <v>36044000</v>
      </c>
      <c r="D204" s="9" t="n">
        <v>47333000</v>
      </c>
      <c r="E204" s="10" t="n">
        <v>11289000</v>
      </c>
      <c r="F204" s="22" t="n">
        <v>31.3</v>
      </c>
    </row>
    <row r="205" customFormat="false" ht="15" hidden="false" customHeight="false" outlineLevel="0" collapsed="false">
      <c r="A205" s="14" t="s">
        <v>147</v>
      </c>
      <c r="B205" s="15" t="s">
        <v>190</v>
      </c>
      <c r="C205" s="16" t="n">
        <v>18022000</v>
      </c>
      <c r="D205" s="16" t="n">
        <v>23786000</v>
      </c>
      <c r="E205" s="10" t="n">
        <v>5764000</v>
      </c>
      <c r="F205" s="23" t="n">
        <v>32</v>
      </c>
    </row>
    <row r="206" customFormat="false" ht="15" hidden="false" customHeight="false" outlineLevel="0" collapsed="false">
      <c r="A206" s="7" t="s">
        <v>149</v>
      </c>
      <c r="B206" s="8" t="s">
        <v>185</v>
      </c>
      <c r="C206" s="9" t="n">
        <v>7692000</v>
      </c>
      <c r="D206" s="9" t="n">
        <v>11273000</v>
      </c>
      <c r="E206" s="10" t="n">
        <v>3581000</v>
      </c>
      <c r="F206" s="22" t="n">
        <v>46.6</v>
      </c>
    </row>
    <row r="207" customFormat="false" ht="15" hidden="false" customHeight="false" outlineLevel="0" collapsed="false">
      <c r="A207" s="14" t="s">
        <v>149</v>
      </c>
      <c r="B207" s="15" t="s">
        <v>186</v>
      </c>
      <c r="C207" s="16" t="n">
        <v>11538000</v>
      </c>
      <c r="D207" s="16" t="n">
        <v>13849000</v>
      </c>
      <c r="E207" s="10" t="n">
        <v>2311000</v>
      </c>
      <c r="F207" s="23" t="n">
        <v>20</v>
      </c>
    </row>
    <row r="208" customFormat="false" ht="15" hidden="false" customHeight="false" outlineLevel="0" collapsed="false">
      <c r="A208" s="7" t="s">
        <v>149</v>
      </c>
      <c r="B208" s="8" t="s">
        <v>187</v>
      </c>
      <c r="C208" s="9" t="n">
        <v>4807000</v>
      </c>
      <c r="D208" s="9" t="n">
        <v>5751000</v>
      </c>
      <c r="E208" s="10" t="n">
        <v>944000</v>
      </c>
      <c r="F208" s="22" t="n">
        <v>19.6</v>
      </c>
    </row>
    <row r="209" customFormat="false" ht="15" hidden="false" customHeight="false" outlineLevel="0" collapsed="false">
      <c r="A209" s="14" t="s">
        <v>149</v>
      </c>
      <c r="B209" s="15" t="s">
        <v>188</v>
      </c>
      <c r="C209" s="16" t="n">
        <v>57688000</v>
      </c>
      <c r="D209" s="16" t="n">
        <v>54704000</v>
      </c>
      <c r="E209" s="16" t="n">
        <v>-2984000</v>
      </c>
      <c r="F209" s="23" t="n">
        <v>-5.2</v>
      </c>
    </row>
    <row r="210" customFormat="false" ht="15" hidden="false" customHeight="false" outlineLevel="0" collapsed="false">
      <c r="A210" s="7" t="s">
        <v>149</v>
      </c>
      <c r="B210" s="8" t="s">
        <v>189</v>
      </c>
      <c r="C210" s="9" t="n">
        <v>9615000</v>
      </c>
      <c r="D210" s="9" t="n">
        <v>8883000</v>
      </c>
      <c r="E210" s="9" t="n">
        <v>-732000</v>
      </c>
      <c r="F210" s="22" t="n">
        <v>-7.6</v>
      </c>
    </row>
    <row r="211" customFormat="false" ht="15" hidden="false" customHeight="false" outlineLevel="0" collapsed="false">
      <c r="A211" s="14" t="s">
        <v>149</v>
      </c>
      <c r="B211" s="15" t="s">
        <v>190</v>
      </c>
      <c r="C211" s="16" t="n">
        <v>4807000</v>
      </c>
      <c r="D211" s="16" t="n">
        <v>5572000</v>
      </c>
      <c r="E211" s="10" t="n">
        <v>765000</v>
      </c>
      <c r="F211" s="23" t="n">
        <v>15.9</v>
      </c>
    </row>
    <row r="212" customFormat="false" ht="15" hidden="false" customHeight="false" outlineLevel="0" collapsed="false">
      <c r="A212" s="7" t="s">
        <v>151</v>
      </c>
      <c r="B212" s="8" t="s">
        <v>185</v>
      </c>
      <c r="C212" s="9" t="n">
        <v>21993000</v>
      </c>
      <c r="D212" s="9" t="n">
        <v>24047000</v>
      </c>
      <c r="E212" s="10" t="n">
        <v>2054000</v>
      </c>
      <c r="F212" s="22" t="n">
        <v>9.3</v>
      </c>
    </row>
    <row r="213" customFormat="false" ht="15" hidden="false" customHeight="false" outlineLevel="0" collapsed="false">
      <c r="A213" s="14" t="s">
        <v>151</v>
      </c>
      <c r="B213" s="15" t="s">
        <v>186</v>
      </c>
      <c r="C213" s="16" t="n">
        <v>32990000</v>
      </c>
      <c r="D213" s="16" t="n">
        <v>34647000</v>
      </c>
      <c r="E213" s="10" t="n">
        <v>1657000</v>
      </c>
      <c r="F213" s="23" t="n">
        <v>5</v>
      </c>
    </row>
    <row r="214" customFormat="false" ht="15" hidden="false" customHeight="false" outlineLevel="0" collapsed="false">
      <c r="A214" s="7" t="s">
        <v>151</v>
      </c>
      <c r="B214" s="8" t="s">
        <v>187</v>
      </c>
      <c r="C214" s="9" t="n">
        <v>13746000</v>
      </c>
      <c r="D214" s="9" t="n">
        <v>13125000</v>
      </c>
      <c r="E214" s="9" t="n">
        <v>-621000</v>
      </c>
      <c r="F214" s="22" t="n">
        <v>-4.5</v>
      </c>
    </row>
    <row r="215" customFormat="false" ht="15" hidden="false" customHeight="false" outlineLevel="0" collapsed="false">
      <c r="A215" s="14" t="s">
        <v>151</v>
      </c>
      <c r="B215" s="15" t="s">
        <v>188</v>
      </c>
      <c r="C215" s="16" t="n">
        <v>164950000</v>
      </c>
      <c r="D215" s="16" t="n">
        <v>243655000</v>
      </c>
      <c r="E215" s="10" t="n">
        <v>78705000</v>
      </c>
      <c r="F215" s="23" t="n">
        <v>47.7</v>
      </c>
    </row>
    <row r="216" customFormat="false" ht="15" hidden="false" customHeight="false" outlineLevel="0" collapsed="false">
      <c r="A216" s="7" t="s">
        <v>151</v>
      </c>
      <c r="B216" s="8" t="s">
        <v>189</v>
      </c>
      <c r="C216" s="9" t="n">
        <v>27492000</v>
      </c>
      <c r="D216" s="9" t="n">
        <v>38532000</v>
      </c>
      <c r="E216" s="10" t="n">
        <v>11040000</v>
      </c>
      <c r="F216" s="22" t="n">
        <v>40.2</v>
      </c>
    </row>
    <row r="217" customFormat="false" ht="15" hidden="false" customHeight="false" outlineLevel="0" collapsed="false">
      <c r="A217" s="14" t="s">
        <v>151</v>
      </c>
      <c r="B217" s="15" t="s">
        <v>190</v>
      </c>
      <c r="C217" s="16" t="n">
        <v>13746000</v>
      </c>
      <c r="D217" s="16" t="n">
        <v>17115000</v>
      </c>
      <c r="E217" s="10" t="n">
        <v>3369000</v>
      </c>
      <c r="F217" s="23" t="n">
        <v>24.5</v>
      </c>
    </row>
    <row r="218" customFormat="false" ht="15" hidden="false" customHeight="false" outlineLevel="0" collapsed="false">
      <c r="A218" s="7" t="s">
        <v>154</v>
      </c>
      <c r="B218" s="8" t="s">
        <v>185</v>
      </c>
      <c r="C218" s="9" t="n">
        <v>98569000</v>
      </c>
      <c r="D218" s="9" t="n">
        <v>144943000</v>
      </c>
      <c r="E218" s="10" t="n">
        <v>46374000</v>
      </c>
      <c r="F218" s="22" t="n">
        <v>47</v>
      </c>
    </row>
    <row r="219" customFormat="false" ht="15" hidden="false" customHeight="false" outlineLevel="0" collapsed="false">
      <c r="A219" s="14" t="s">
        <v>154</v>
      </c>
      <c r="B219" s="15" t="s">
        <v>186</v>
      </c>
      <c r="C219" s="16" t="n">
        <v>147853000</v>
      </c>
      <c r="D219" s="16" t="n">
        <v>221742000</v>
      </c>
      <c r="E219" s="10" t="n">
        <v>73889000</v>
      </c>
      <c r="F219" s="23" t="n">
        <v>50</v>
      </c>
    </row>
    <row r="220" customFormat="false" ht="15" hidden="false" customHeight="false" outlineLevel="0" collapsed="false">
      <c r="A220" s="7" t="s">
        <v>154</v>
      </c>
      <c r="B220" s="8" t="s">
        <v>187</v>
      </c>
      <c r="C220" s="9" t="n">
        <v>61605000</v>
      </c>
      <c r="D220" s="9" t="n">
        <v>80294000</v>
      </c>
      <c r="E220" s="10" t="n">
        <v>18689000</v>
      </c>
      <c r="F220" s="22" t="n">
        <v>30.3</v>
      </c>
    </row>
    <row r="221" customFormat="false" ht="15" hidden="false" customHeight="false" outlineLevel="0" collapsed="false">
      <c r="A221" s="14" t="s">
        <v>154</v>
      </c>
      <c r="B221" s="15" t="s">
        <v>188</v>
      </c>
      <c r="C221" s="16" t="n">
        <v>739264000</v>
      </c>
      <c r="D221" s="16" t="n">
        <v>784881000</v>
      </c>
      <c r="E221" s="10" t="n">
        <v>45617000</v>
      </c>
      <c r="F221" s="23" t="n">
        <v>6.2</v>
      </c>
    </row>
    <row r="222" customFormat="false" ht="15" hidden="false" customHeight="false" outlineLevel="0" collapsed="false">
      <c r="A222" s="7" t="s">
        <v>154</v>
      </c>
      <c r="B222" s="8" t="s">
        <v>189</v>
      </c>
      <c r="C222" s="9" t="n">
        <v>123211000</v>
      </c>
      <c r="D222" s="9" t="n">
        <v>113864000</v>
      </c>
      <c r="E222" s="9" t="n">
        <v>-9347000</v>
      </c>
      <c r="F222" s="22" t="n">
        <v>-7.6</v>
      </c>
    </row>
    <row r="223" customFormat="false" ht="15" hidden="false" customHeight="false" outlineLevel="0" collapsed="false">
      <c r="A223" s="14" t="s">
        <v>154</v>
      </c>
      <c r="B223" s="15" t="s">
        <v>190</v>
      </c>
      <c r="C223" s="16" t="n">
        <v>61605000</v>
      </c>
      <c r="D223" s="16" t="n">
        <v>83398000</v>
      </c>
      <c r="E223" s="10" t="n">
        <v>21793000</v>
      </c>
      <c r="F223" s="23" t="n">
        <v>35.4</v>
      </c>
    </row>
    <row r="224" customFormat="false" ht="15" hidden="false" customHeight="false" outlineLevel="0" collapsed="false">
      <c r="A224" s="7" t="s">
        <v>156</v>
      </c>
      <c r="B224" s="8" t="s">
        <v>185</v>
      </c>
      <c r="C224" s="9" t="n">
        <v>60819000</v>
      </c>
      <c r="D224" s="9" t="n">
        <v>71906000</v>
      </c>
      <c r="E224" s="10" t="n">
        <v>11087000</v>
      </c>
      <c r="F224" s="22" t="n">
        <v>18.2</v>
      </c>
    </row>
    <row r="225" customFormat="false" ht="15" hidden="false" customHeight="false" outlineLevel="0" collapsed="false">
      <c r="A225" s="14" t="s">
        <v>156</v>
      </c>
      <c r="B225" s="15" t="s">
        <v>186</v>
      </c>
      <c r="C225" s="16" t="n">
        <v>91228000</v>
      </c>
      <c r="D225" s="16" t="n">
        <v>117767000</v>
      </c>
      <c r="E225" s="10" t="n">
        <v>26539000</v>
      </c>
      <c r="F225" s="23" t="n">
        <v>29.1</v>
      </c>
    </row>
    <row r="226" customFormat="false" ht="15" hidden="false" customHeight="false" outlineLevel="0" collapsed="false">
      <c r="A226" s="7" t="s">
        <v>156</v>
      </c>
      <c r="B226" s="8" t="s">
        <v>187</v>
      </c>
      <c r="C226" s="9" t="n">
        <v>38012000</v>
      </c>
      <c r="D226" s="9" t="n">
        <v>55104000</v>
      </c>
      <c r="E226" s="10" t="n">
        <v>17092000</v>
      </c>
      <c r="F226" s="22" t="n">
        <v>45</v>
      </c>
    </row>
    <row r="227" customFormat="false" ht="15" hidden="false" customHeight="false" outlineLevel="0" collapsed="false">
      <c r="A227" s="14" t="s">
        <v>156</v>
      </c>
      <c r="B227" s="15" t="s">
        <v>188</v>
      </c>
      <c r="C227" s="16" t="n">
        <v>456139000</v>
      </c>
      <c r="D227" s="16" t="n">
        <v>460196000</v>
      </c>
      <c r="E227" s="10" t="n">
        <v>4057000</v>
      </c>
      <c r="F227" s="23" t="n">
        <v>0.9</v>
      </c>
    </row>
    <row r="228" customFormat="false" ht="15" hidden="false" customHeight="false" outlineLevel="0" collapsed="false">
      <c r="A228" s="7" t="s">
        <v>156</v>
      </c>
      <c r="B228" s="8" t="s">
        <v>189</v>
      </c>
      <c r="C228" s="9" t="n">
        <v>76023000</v>
      </c>
      <c r="D228" s="9" t="n">
        <v>95120000</v>
      </c>
      <c r="E228" s="10" t="n">
        <v>19097000</v>
      </c>
      <c r="F228" s="22" t="n">
        <v>25.1</v>
      </c>
    </row>
    <row r="229" customFormat="false" ht="15" hidden="false" customHeight="false" outlineLevel="0" collapsed="false">
      <c r="A229" s="14" t="s">
        <v>156</v>
      </c>
      <c r="B229" s="15" t="s">
        <v>190</v>
      </c>
      <c r="C229" s="16" t="n">
        <v>38012000</v>
      </c>
      <c r="D229" s="16" t="n">
        <v>48688000</v>
      </c>
      <c r="E229" s="10" t="n">
        <v>10676000</v>
      </c>
      <c r="F229" s="23" t="n">
        <v>28.1</v>
      </c>
    </row>
    <row r="230" customFormat="false" ht="15" hidden="false" customHeight="false" outlineLevel="0" collapsed="false">
      <c r="A230" s="7" t="s">
        <v>158</v>
      </c>
      <c r="B230" s="8" t="s">
        <v>185</v>
      </c>
      <c r="C230" s="9" t="n">
        <v>90488000</v>
      </c>
      <c r="D230" s="9" t="n">
        <v>108136000</v>
      </c>
      <c r="E230" s="10" t="n">
        <v>17648000</v>
      </c>
      <c r="F230" s="22" t="n">
        <v>19.5</v>
      </c>
    </row>
    <row r="231" customFormat="false" ht="15" hidden="false" customHeight="false" outlineLevel="0" collapsed="false">
      <c r="A231" s="14" t="s">
        <v>158</v>
      </c>
      <c r="B231" s="15" t="s">
        <v>186</v>
      </c>
      <c r="C231" s="16" t="n">
        <v>135732000</v>
      </c>
      <c r="D231" s="16" t="n">
        <v>129590000</v>
      </c>
      <c r="E231" s="16" t="n">
        <v>-6142000</v>
      </c>
      <c r="F231" s="23" t="n">
        <v>-4.5</v>
      </c>
    </row>
    <row r="232" customFormat="false" ht="15" hidden="false" customHeight="false" outlineLevel="0" collapsed="false">
      <c r="A232" s="7" t="s">
        <v>158</v>
      </c>
      <c r="B232" s="8" t="s">
        <v>187</v>
      </c>
      <c r="C232" s="9" t="n">
        <v>56555000</v>
      </c>
      <c r="D232" s="9" t="n">
        <v>62707000</v>
      </c>
      <c r="E232" s="10" t="n">
        <v>6152000</v>
      </c>
      <c r="F232" s="22" t="n">
        <v>10.9</v>
      </c>
    </row>
    <row r="233" customFormat="false" ht="15" hidden="false" customHeight="false" outlineLevel="0" collapsed="false">
      <c r="A233" s="14" t="s">
        <v>158</v>
      </c>
      <c r="B233" s="15" t="s">
        <v>188</v>
      </c>
      <c r="C233" s="16" t="n">
        <v>678662000</v>
      </c>
      <c r="D233" s="16" t="n">
        <v>746518000</v>
      </c>
      <c r="E233" s="10" t="n">
        <v>67856000</v>
      </c>
      <c r="F233" s="23" t="n">
        <v>10</v>
      </c>
    </row>
    <row r="234" customFormat="false" ht="15" hidden="false" customHeight="false" outlineLevel="0" collapsed="false">
      <c r="A234" s="7" t="s">
        <v>158</v>
      </c>
      <c r="B234" s="8" t="s">
        <v>189</v>
      </c>
      <c r="C234" s="9" t="n">
        <v>113110000</v>
      </c>
      <c r="D234" s="9" t="n">
        <v>147278000</v>
      </c>
      <c r="E234" s="10" t="n">
        <v>34168000</v>
      </c>
      <c r="F234" s="22" t="n">
        <v>30.2</v>
      </c>
    </row>
    <row r="235" customFormat="false" ht="15" hidden="false" customHeight="false" outlineLevel="0" collapsed="false">
      <c r="A235" s="14" t="s">
        <v>158</v>
      </c>
      <c r="B235" s="15" t="s">
        <v>190</v>
      </c>
      <c r="C235" s="16" t="n">
        <v>56555000</v>
      </c>
      <c r="D235" s="16" t="n">
        <v>80005000</v>
      </c>
      <c r="E235" s="10" t="n">
        <v>23450000</v>
      </c>
      <c r="F235" s="23" t="n">
        <v>41.5</v>
      </c>
    </row>
    <row r="236" customFormat="false" ht="15" hidden="false" customHeight="false" outlineLevel="0" collapsed="false">
      <c r="A236" s="7" t="s">
        <v>159</v>
      </c>
      <c r="B236" s="8" t="s">
        <v>185</v>
      </c>
      <c r="C236" s="9" t="n">
        <v>48759000</v>
      </c>
      <c r="D236" s="9" t="n">
        <v>53532000</v>
      </c>
      <c r="E236" s="10" t="n">
        <v>4773000</v>
      </c>
      <c r="F236" s="22" t="n">
        <v>9.8</v>
      </c>
    </row>
    <row r="237" customFormat="false" ht="15" hidden="false" customHeight="false" outlineLevel="0" collapsed="false">
      <c r="A237" s="14" t="s">
        <v>159</v>
      </c>
      <c r="B237" s="15" t="s">
        <v>186</v>
      </c>
      <c r="C237" s="16" t="n">
        <v>73138000</v>
      </c>
      <c r="D237" s="16" t="n">
        <v>96265000</v>
      </c>
      <c r="E237" s="10" t="n">
        <v>23127000</v>
      </c>
      <c r="F237" s="23" t="n">
        <v>31.6</v>
      </c>
    </row>
    <row r="238" customFormat="false" ht="15" hidden="false" customHeight="false" outlineLevel="0" collapsed="false">
      <c r="A238" s="7" t="s">
        <v>159</v>
      </c>
      <c r="B238" s="8" t="s">
        <v>187</v>
      </c>
      <c r="C238" s="9" t="n">
        <v>30474000</v>
      </c>
      <c r="D238" s="9" t="n">
        <v>32696000</v>
      </c>
      <c r="E238" s="10" t="n">
        <v>2222000</v>
      </c>
      <c r="F238" s="22" t="n">
        <v>7.3</v>
      </c>
    </row>
    <row r="239" customFormat="false" ht="15" hidden="false" customHeight="false" outlineLevel="0" collapsed="false">
      <c r="A239" s="14" t="s">
        <v>159</v>
      </c>
      <c r="B239" s="15" t="s">
        <v>188</v>
      </c>
      <c r="C239" s="16" t="n">
        <v>365689000</v>
      </c>
      <c r="D239" s="16" t="n">
        <v>536508000</v>
      </c>
      <c r="E239" s="10" t="n">
        <v>170819000</v>
      </c>
      <c r="F239" s="23" t="n">
        <v>46.7</v>
      </c>
    </row>
    <row r="240" customFormat="false" ht="15" hidden="false" customHeight="false" outlineLevel="0" collapsed="false">
      <c r="A240" s="7" t="s">
        <v>159</v>
      </c>
      <c r="B240" s="8" t="s">
        <v>189</v>
      </c>
      <c r="C240" s="9" t="n">
        <v>60948000</v>
      </c>
      <c r="D240" s="9" t="n">
        <v>84604000</v>
      </c>
      <c r="E240" s="10" t="n">
        <v>23656000</v>
      </c>
      <c r="F240" s="22" t="n">
        <v>38.8</v>
      </c>
    </row>
    <row r="241" customFormat="false" ht="15" hidden="false" customHeight="false" outlineLevel="0" collapsed="false">
      <c r="A241" s="14" t="s">
        <v>159</v>
      </c>
      <c r="B241" s="15" t="s">
        <v>190</v>
      </c>
      <c r="C241" s="16" t="n">
        <v>30474000</v>
      </c>
      <c r="D241" s="16" t="n">
        <v>37485000</v>
      </c>
      <c r="E241" s="10" t="n">
        <v>7011000</v>
      </c>
      <c r="F241" s="23" t="n">
        <v>23</v>
      </c>
    </row>
    <row r="242" customFormat="false" ht="15" hidden="false" customHeight="false" outlineLevel="0" collapsed="false">
      <c r="A242" s="7" t="s">
        <v>160</v>
      </c>
      <c r="B242" s="8" t="s">
        <v>185</v>
      </c>
      <c r="C242" s="9" t="n">
        <v>107561000</v>
      </c>
      <c r="D242" s="9" t="n">
        <v>126158000</v>
      </c>
      <c r="E242" s="10" t="n">
        <v>18597000</v>
      </c>
      <c r="F242" s="22" t="n">
        <v>17.3</v>
      </c>
    </row>
    <row r="243" customFormat="false" ht="15" hidden="false" customHeight="false" outlineLevel="0" collapsed="false">
      <c r="A243" s="14" t="s">
        <v>160</v>
      </c>
      <c r="B243" s="15" t="s">
        <v>186</v>
      </c>
      <c r="C243" s="16" t="n">
        <v>161342000</v>
      </c>
      <c r="D243" s="16" t="n">
        <v>175655000</v>
      </c>
      <c r="E243" s="10" t="n">
        <v>14313000</v>
      </c>
      <c r="F243" s="23" t="n">
        <v>8.9</v>
      </c>
    </row>
    <row r="244" customFormat="false" ht="15" hidden="false" customHeight="false" outlineLevel="0" collapsed="false">
      <c r="A244" s="7" t="s">
        <v>160</v>
      </c>
      <c r="B244" s="8" t="s">
        <v>187</v>
      </c>
      <c r="C244" s="9" t="n">
        <v>67226000</v>
      </c>
      <c r="D244" s="9" t="n">
        <v>73543000</v>
      </c>
      <c r="E244" s="10" t="n">
        <v>6317000</v>
      </c>
      <c r="F244" s="22" t="n">
        <v>9.4</v>
      </c>
    </row>
    <row r="245" customFormat="false" ht="15" hidden="false" customHeight="false" outlineLevel="0" collapsed="false">
      <c r="A245" s="14" t="s">
        <v>160</v>
      </c>
      <c r="B245" s="15" t="s">
        <v>188</v>
      </c>
      <c r="C245" s="16" t="n">
        <v>806709000</v>
      </c>
      <c r="D245" s="16" t="n">
        <v>1195632000</v>
      </c>
      <c r="E245" s="10" t="n">
        <v>388923000</v>
      </c>
      <c r="F245" s="23" t="n">
        <v>48.2</v>
      </c>
    </row>
    <row r="246" customFormat="false" ht="15" hidden="false" customHeight="false" outlineLevel="0" collapsed="false">
      <c r="A246" s="7" t="s">
        <v>160</v>
      </c>
      <c r="B246" s="8" t="s">
        <v>189</v>
      </c>
      <c r="C246" s="9" t="n">
        <v>134452000</v>
      </c>
      <c r="D246" s="9" t="n">
        <v>153612000</v>
      </c>
      <c r="E246" s="10" t="n">
        <v>19160000</v>
      </c>
      <c r="F246" s="22" t="n">
        <v>14.3</v>
      </c>
    </row>
    <row r="247" customFormat="false" ht="15" hidden="false" customHeight="false" outlineLevel="0" collapsed="false">
      <c r="A247" s="14" t="s">
        <v>160</v>
      </c>
      <c r="B247" s="15" t="s">
        <v>190</v>
      </c>
      <c r="C247" s="16" t="n">
        <v>67226000</v>
      </c>
      <c r="D247" s="16" t="n">
        <v>81260000</v>
      </c>
      <c r="E247" s="10" t="n">
        <v>14034000</v>
      </c>
      <c r="F247" s="23" t="n">
        <v>20.9</v>
      </c>
    </row>
    <row r="248" customFormat="false" ht="15" hidden="false" customHeight="false" outlineLevel="0" collapsed="false">
      <c r="A248" s="7" t="s">
        <v>161</v>
      </c>
      <c r="B248" s="8" t="s">
        <v>185</v>
      </c>
      <c r="C248" s="9" t="n">
        <v>157494000</v>
      </c>
      <c r="D248" s="9" t="n">
        <v>235118000</v>
      </c>
      <c r="E248" s="10" t="n">
        <v>77624000</v>
      </c>
      <c r="F248" s="22" t="n">
        <v>49.3</v>
      </c>
    </row>
    <row r="249" customFormat="false" ht="15" hidden="false" customHeight="false" outlineLevel="0" collapsed="false">
      <c r="A249" s="14" t="s">
        <v>161</v>
      </c>
      <c r="B249" s="15" t="s">
        <v>186</v>
      </c>
      <c r="C249" s="16" t="n">
        <v>236241000</v>
      </c>
      <c r="D249" s="16" t="n">
        <v>305837000</v>
      </c>
      <c r="E249" s="10" t="n">
        <v>69596000</v>
      </c>
      <c r="F249" s="23" t="n">
        <v>29.5</v>
      </c>
    </row>
    <row r="250" customFormat="false" ht="15" hidden="false" customHeight="false" outlineLevel="0" collapsed="false">
      <c r="A250" s="7" t="s">
        <v>161</v>
      </c>
      <c r="B250" s="8" t="s">
        <v>187</v>
      </c>
      <c r="C250" s="9" t="n">
        <v>98434000</v>
      </c>
      <c r="D250" s="9" t="n">
        <v>120636000</v>
      </c>
      <c r="E250" s="10" t="n">
        <v>22202000</v>
      </c>
      <c r="F250" s="22" t="n">
        <v>22.6</v>
      </c>
    </row>
    <row r="251" customFormat="false" ht="15" hidden="false" customHeight="false" outlineLevel="0" collapsed="false">
      <c r="A251" s="14" t="s">
        <v>161</v>
      </c>
      <c r="B251" s="15" t="s">
        <v>188</v>
      </c>
      <c r="C251" s="16" t="n">
        <v>1181205000</v>
      </c>
      <c r="D251" s="16" t="n">
        <v>1355963000</v>
      </c>
      <c r="E251" s="10" t="n">
        <v>174758000</v>
      </c>
      <c r="F251" s="23" t="n">
        <v>14.8</v>
      </c>
    </row>
    <row r="252" customFormat="false" ht="15" hidden="false" customHeight="false" outlineLevel="0" collapsed="false">
      <c r="A252" s="7" t="s">
        <v>161</v>
      </c>
      <c r="B252" s="8" t="s">
        <v>189</v>
      </c>
      <c r="C252" s="9" t="n">
        <v>196868000</v>
      </c>
      <c r="D252" s="9" t="n">
        <v>199339000</v>
      </c>
      <c r="E252" s="10" t="n">
        <v>2471000</v>
      </c>
      <c r="F252" s="22" t="n">
        <v>1.3</v>
      </c>
    </row>
    <row r="253" customFormat="false" ht="15" hidden="false" customHeight="false" outlineLevel="0" collapsed="false">
      <c r="A253" s="14" t="s">
        <v>161</v>
      </c>
      <c r="B253" s="15" t="s">
        <v>190</v>
      </c>
      <c r="C253" s="16" t="n">
        <v>98434000</v>
      </c>
      <c r="D253" s="16" t="n">
        <v>109957000</v>
      </c>
      <c r="E253" s="10" t="n">
        <v>11523000</v>
      </c>
      <c r="F253" s="23" t="n">
        <v>11.7</v>
      </c>
    </row>
    <row r="254" customFormat="false" ht="15" hidden="false" customHeight="false" outlineLevel="0" collapsed="false">
      <c r="A254" s="7" t="s">
        <v>163</v>
      </c>
      <c r="B254" s="8" t="s">
        <v>185</v>
      </c>
      <c r="C254" s="9" t="n">
        <v>125434000</v>
      </c>
      <c r="D254" s="9" t="n">
        <v>169821000</v>
      </c>
      <c r="E254" s="10" t="n">
        <v>44387000</v>
      </c>
      <c r="F254" s="22" t="n">
        <v>35.4</v>
      </c>
    </row>
    <row r="255" customFormat="false" ht="15" hidden="false" customHeight="false" outlineLevel="0" collapsed="false">
      <c r="A255" s="14" t="s">
        <v>163</v>
      </c>
      <c r="B255" s="15" t="s">
        <v>186</v>
      </c>
      <c r="C255" s="16" t="n">
        <v>188150000</v>
      </c>
      <c r="D255" s="16" t="n">
        <v>239937000</v>
      </c>
      <c r="E255" s="10" t="n">
        <v>51787000</v>
      </c>
      <c r="F255" s="23" t="n">
        <v>27.5</v>
      </c>
    </row>
    <row r="256" customFormat="false" ht="15" hidden="false" customHeight="false" outlineLevel="0" collapsed="false">
      <c r="A256" s="7" t="s">
        <v>163</v>
      </c>
      <c r="B256" s="8" t="s">
        <v>187</v>
      </c>
      <c r="C256" s="9" t="n">
        <v>78396000</v>
      </c>
      <c r="D256" s="9" t="n">
        <v>106305000</v>
      </c>
      <c r="E256" s="10" t="n">
        <v>27909000</v>
      </c>
      <c r="F256" s="22" t="n">
        <v>35.6</v>
      </c>
    </row>
    <row r="257" customFormat="false" ht="15" hidden="false" customHeight="false" outlineLevel="0" collapsed="false">
      <c r="A257" s="14" t="s">
        <v>163</v>
      </c>
      <c r="B257" s="15" t="s">
        <v>188</v>
      </c>
      <c r="C257" s="16" t="n">
        <v>940752000</v>
      </c>
      <c r="D257" s="16" t="n">
        <v>961575000</v>
      </c>
      <c r="E257" s="10" t="n">
        <v>20823000</v>
      </c>
      <c r="F257" s="23" t="n">
        <v>2.2</v>
      </c>
    </row>
    <row r="258" customFormat="false" ht="15" hidden="false" customHeight="false" outlineLevel="0" collapsed="false">
      <c r="A258" s="7" t="s">
        <v>163</v>
      </c>
      <c r="B258" s="8" t="s">
        <v>189</v>
      </c>
      <c r="C258" s="9" t="n">
        <v>156792000</v>
      </c>
      <c r="D258" s="9" t="n">
        <v>192781000</v>
      </c>
      <c r="E258" s="10" t="n">
        <v>35989000</v>
      </c>
      <c r="F258" s="22" t="n">
        <v>23</v>
      </c>
    </row>
    <row r="259" customFormat="false" ht="15" hidden="false" customHeight="false" outlineLevel="0" collapsed="false">
      <c r="A259" s="14" t="s">
        <v>163</v>
      </c>
      <c r="B259" s="15" t="s">
        <v>190</v>
      </c>
      <c r="C259" s="16" t="n">
        <v>78396000</v>
      </c>
      <c r="D259" s="16" t="n">
        <v>114192000</v>
      </c>
      <c r="E259" s="10" t="n">
        <v>35796000</v>
      </c>
      <c r="F259" s="23" t="n">
        <v>45.7</v>
      </c>
    </row>
    <row r="260" customFormat="false" ht="15" hidden="false" customHeight="false" outlineLevel="0" collapsed="false">
      <c r="A260" s="7" t="s">
        <v>165</v>
      </c>
      <c r="B260" s="8" t="s">
        <v>185</v>
      </c>
      <c r="C260" s="9" t="n">
        <v>53498000</v>
      </c>
      <c r="D260" s="9" t="n">
        <v>62211000</v>
      </c>
      <c r="E260" s="10" t="n">
        <v>8713000</v>
      </c>
      <c r="F260" s="22" t="n">
        <v>16.3</v>
      </c>
    </row>
    <row r="261" customFormat="false" ht="15" hidden="false" customHeight="false" outlineLevel="0" collapsed="false">
      <c r="A261" s="14" t="s">
        <v>165</v>
      </c>
      <c r="B261" s="15" t="s">
        <v>186</v>
      </c>
      <c r="C261" s="16" t="n">
        <v>80248000</v>
      </c>
      <c r="D261" s="16" t="n">
        <v>105843000</v>
      </c>
      <c r="E261" s="10" t="n">
        <v>25595000</v>
      </c>
      <c r="F261" s="23" t="n">
        <v>31.9</v>
      </c>
    </row>
    <row r="262" customFormat="false" ht="15" hidden="false" customHeight="false" outlineLevel="0" collapsed="false">
      <c r="A262" s="7" t="s">
        <v>165</v>
      </c>
      <c r="B262" s="8" t="s">
        <v>187</v>
      </c>
      <c r="C262" s="9" t="n">
        <v>33437000</v>
      </c>
      <c r="D262" s="9" t="n">
        <v>32529000</v>
      </c>
      <c r="E262" s="9" t="n">
        <v>-908000</v>
      </c>
      <c r="F262" s="22" t="n">
        <v>-2.7</v>
      </c>
    </row>
    <row r="263" customFormat="false" ht="15" hidden="false" customHeight="false" outlineLevel="0" collapsed="false">
      <c r="A263" s="14" t="s">
        <v>165</v>
      </c>
      <c r="B263" s="15" t="s">
        <v>188</v>
      </c>
      <c r="C263" s="16" t="n">
        <v>401239000</v>
      </c>
      <c r="D263" s="16" t="n">
        <v>595394000</v>
      </c>
      <c r="E263" s="10" t="n">
        <v>194155000</v>
      </c>
      <c r="F263" s="23" t="n">
        <v>48.4</v>
      </c>
    </row>
    <row r="264" customFormat="false" ht="15" hidden="false" customHeight="false" outlineLevel="0" collapsed="false">
      <c r="A264" s="7" t="s">
        <v>165</v>
      </c>
      <c r="B264" s="8" t="s">
        <v>189</v>
      </c>
      <c r="C264" s="9" t="n">
        <v>66873000</v>
      </c>
      <c r="D264" s="9" t="n">
        <v>84616000</v>
      </c>
      <c r="E264" s="10" t="n">
        <v>17743000</v>
      </c>
      <c r="F264" s="22" t="n">
        <v>26.5</v>
      </c>
    </row>
    <row r="265" customFormat="false" ht="15" hidden="false" customHeight="false" outlineLevel="0" collapsed="false">
      <c r="A265" s="14" t="s">
        <v>165</v>
      </c>
      <c r="B265" s="15" t="s">
        <v>190</v>
      </c>
      <c r="C265" s="16" t="n">
        <v>33437000</v>
      </c>
      <c r="D265" s="16" t="n">
        <v>34894000</v>
      </c>
      <c r="E265" s="10" t="n">
        <v>1457000</v>
      </c>
      <c r="F265" s="23" t="n">
        <v>4.4</v>
      </c>
    </row>
    <row r="266" customFormat="false" ht="15" hidden="false" customHeight="false" outlineLevel="0" collapsed="false">
      <c r="A266" s="7" t="s">
        <v>168</v>
      </c>
      <c r="B266" s="8" t="s">
        <v>185</v>
      </c>
      <c r="C266" s="9" t="n">
        <v>121277000</v>
      </c>
      <c r="D266" s="9" t="n">
        <v>120674000</v>
      </c>
      <c r="E266" s="9" t="n">
        <v>-603000</v>
      </c>
      <c r="F266" s="22" t="n">
        <v>-0.5</v>
      </c>
    </row>
    <row r="267" customFormat="false" ht="15" hidden="false" customHeight="false" outlineLevel="0" collapsed="false">
      <c r="A267" s="14" t="s">
        <v>168</v>
      </c>
      <c r="B267" s="15" t="s">
        <v>186</v>
      </c>
      <c r="C267" s="16" t="n">
        <v>181916000</v>
      </c>
      <c r="D267" s="16" t="n">
        <v>223848000</v>
      </c>
      <c r="E267" s="10" t="n">
        <v>41932000</v>
      </c>
      <c r="F267" s="23" t="n">
        <v>23.1</v>
      </c>
    </row>
    <row r="268" customFormat="false" ht="15" hidden="false" customHeight="false" outlineLevel="0" collapsed="false">
      <c r="A268" s="7" t="s">
        <v>168</v>
      </c>
      <c r="B268" s="8" t="s">
        <v>187</v>
      </c>
      <c r="C268" s="9" t="n">
        <v>75798000</v>
      </c>
      <c r="D268" s="9" t="n">
        <v>93334000</v>
      </c>
      <c r="E268" s="10" t="n">
        <v>17536000</v>
      </c>
      <c r="F268" s="22" t="n">
        <v>23.1</v>
      </c>
    </row>
    <row r="269" customFormat="false" ht="15" hidden="false" customHeight="false" outlineLevel="0" collapsed="false">
      <c r="A269" s="14" t="s">
        <v>168</v>
      </c>
      <c r="B269" s="15" t="s">
        <v>188</v>
      </c>
      <c r="C269" s="16" t="n">
        <v>909579000</v>
      </c>
      <c r="D269" s="16" t="n">
        <v>869490000</v>
      </c>
      <c r="E269" s="16" t="n">
        <v>-40089000</v>
      </c>
      <c r="F269" s="23" t="n">
        <v>-4.4</v>
      </c>
    </row>
    <row r="270" customFormat="false" ht="15" hidden="false" customHeight="false" outlineLevel="0" collapsed="false">
      <c r="A270" s="7" t="s">
        <v>168</v>
      </c>
      <c r="B270" s="8" t="s">
        <v>189</v>
      </c>
      <c r="C270" s="9" t="n">
        <v>151596000</v>
      </c>
      <c r="D270" s="9" t="n">
        <v>226690000</v>
      </c>
      <c r="E270" s="10" t="n">
        <v>75094000</v>
      </c>
      <c r="F270" s="22" t="n">
        <v>49.5</v>
      </c>
    </row>
    <row r="271" customFormat="false" ht="15" hidden="false" customHeight="false" outlineLevel="0" collapsed="false">
      <c r="A271" s="14" t="s">
        <v>168</v>
      </c>
      <c r="B271" s="15" t="s">
        <v>190</v>
      </c>
      <c r="C271" s="16" t="n">
        <v>75798000</v>
      </c>
      <c r="D271" s="16" t="n">
        <v>109737000</v>
      </c>
      <c r="E271" s="10" t="n">
        <v>33939000</v>
      </c>
      <c r="F271" s="23" t="n">
        <v>44.8</v>
      </c>
    </row>
    <row r="272" customFormat="false" ht="15" hidden="false" customHeight="false" outlineLevel="0" collapsed="false">
      <c r="A272" s="7" t="s">
        <v>170</v>
      </c>
      <c r="B272" s="8" t="s">
        <v>185</v>
      </c>
      <c r="C272" s="9" t="n">
        <v>40581000</v>
      </c>
      <c r="D272" s="9" t="n">
        <v>47759000</v>
      </c>
      <c r="E272" s="10" t="n">
        <v>7178000</v>
      </c>
      <c r="F272" s="22" t="n">
        <v>17.7</v>
      </c>
    </row>
    <row r="273" customFormat="false" ht="15" hidden="false" customHeight="false" outlineLevel="0" collapsed="false">
      <c r="A273" s="14" t="s">
        <v>170</v>
      </c>
      <c r="B273" s="15" t="s">
        <v>186</v>
      </c>
      <c r="C273" s="16" t="n">
        <v>60871000</v>
      </c>
      <c r="D273" s="16" t="n">
        <v>59074000</v>
      </c>
      <c r="E273" s="16" t="n">
        <v>-1797000</v>
      </c>
      <c r="F273" s="23" t="n">
        <v>-3</v>
      </c>
    </row>
    <row r="274" customFormat="false" ht="15" hidden="false" customHeight="false" outlineLevel="0" collapsed="false">
      <c r="A274" s="7" t="s">
        <v>170</v>
      </c>
      <c r="B274" s="8" t="s">
        <v>187</v>
      </c>
      <c r="C274" s="9" t="n">
        <v>25363000</v>
      </c>
      <c r="D274" s="9" t="n">
        <v>35490000</v>
      </c>
      <c r="E274" s="10" t="n">
        <v>10127000</v>
      </c>
      <c r="F274" s="22" t="n">
        <v>39.9</v>
      </c>
    </row>
    <row r="275" customFormat="false" ht="15" hidden="false" customHeight="false" outlineLevel="0" collapsed="false">
      <c r="A275" s="14" t="s">
        <v>170</v>
      </c>
      <c r="B275" s="15" t="s">
        <v>188</v>
      </c>
      <c r="C275" s="16" t="n">
        <v>304357000</v>
      </c>
      <c r="D275" s="16" t="n">
        <v>364932000</v>
      </c>
      <c r="E275" s="10" t="n">
        <v>60575000</v>
      </c>
      <c r="F275" s="23" t="n">
        <v>19.9</v>
      </c>
    </row>
    <row r="276" customFormat="false" ht="15" hidden="false" customHeight="false" outlineLevel="0" collapsed="false">
      <c r="A276" s="7" t="s">
        <v>170</v>
      </c>
      <c r="B276" s="8" t="s">
        <v>189</v>
      </c>
      <c r="C276" s="9" t="n">
        <v>50726000</v>
      </c>
      <c r="D276" s="9" t="n">
        <v>67464000</v>
      </c>
      <c r="E276" s="10" t="n">
        <v>16738000</v>
      </c>
      <c r="F276" s="22" t="n">
        <v>33</v>
      </c>
    </row>
    <row r="277" customFormat="false" ht="15" hidden="false" customHeight="false" outlineLevel="0" collapsed="false">
      <c r="A277" s="14" t="s">
        <v>170</v>
      </c>
      <c r="B277" s="15" t="s">
        <v>190</v>
      </c>
      <c r="C277" s="16" t="n">
        <v>25363000</v>
      </c>
      <c r="D277" s="16" t="n">
        <v>30571000</v>
      </c>
      <c r="E277" s="10" t="n">
        <v>5208000</v>
      </c>
      <c r="F277" s="23" t="n">
        <v>20.5</v>
      </c>
    </row>
    <row r="278" customFormat="false" ht="15" hidden="false" customHeight="false" outlineLevel="0" collapsed="false">
      <c r="A278" s="7" t="s">
        <v>172</v>
      </c>
      <c r="B278" s="8" t="s">
        <v>185</v>
      </c>
      <c r="C278" s="9" t="n">
        <v>55618000</v>
      </c>
      <c r="D278" s="9" t="n">
        <v>59181000</v>
      </c>
      <c r="E278" s="10" t="n">
        <v>3563000</v>
      </c>
      <c r="F278" s="22" t="n">
        <v>6.4</v>
      </c>
    </row>
    <row r="279" customFormat="false" ht="15" hidden="false" customHeight="false" outlineLevel="0" collapsed="false">
      <c r="A279" s="14" t="s">
        <v>172</v>
      </c>
      <c r="B279" s="15" t="s">
        <v>186</v>
      </c>
      <c r="C279" s="16" t="n">
        <v>83426000</v>
      </c>
      <c r="D279" s="16" t="n">
        <v>116866000</v>
      </c>
      <c r="E279" s="10" t="n">
        <v>33440000</v>
      </c>
      <c r="F279" s="23" t="n">
        <v>40.1</v>
      </c>
    </row>
    <row r="280" customFormat="false" ht="15" hidden="false" customHeight="false" outlineLevel="0" collapsed="false">
      <c r="A280" s="7" t="s">
        <v>172</v>
      </c>
      <c r="B280" s="8" t="s">
        <v>187</v>
      </c>
      <c r="C280" s="9" t="n">
        <v>34761000</v>
      </c>
      <c r="D280" s="9" t="n">
        <v>51729000</v>
      </c>
      <c r="E280" s="10" t="n">
        <v>16968000</v>
      </c>
      <c r="F280" s="22" t="n">
        <v>48.8</v>
      </c>
    </row>
    <row r="281" customFormat="false" ht="15" hidden="false" customHeight="false" outlineLevel="0" collapsed="false">
      <c r="A281" s="14" t="s">
        <v>172</v>
      </c>
      <c r="B281" s="15" t="s">
        <v>188</v>
      </c>
      <c r="C281" s="16" t="n">
        <v>417131000</v>
      </c>
      <c r="D281" s="16" t="n">
        <v>436419000</v>
      </c>
      <c r="E281" s="10" t="n">
        <v>19288000</v>
      </c>
      <c r="F281" s="23" t="n">
        <v>4.6</v>
      </c>
    </row>
    <row r="282" customFormat="false" ht="15" hidden="false" customHeight="false" outlineLevel="0" collapsed="false">
      <c r="A282" s="7" t="s">
        <v>172</v>
      </c>
      <c r="B282" s="8" t="s">
        <v>189</v>
      </c>
      <c r="C282" s="9" t="n">
        <v>69522000</v>
      </c>
      <c r="D282" s="9" t="n">
        <v>85565000</v>
      </c>
      <c r="E282" s="10" t="n">
        <v>16043000</v>
      </c>
      <c r="F282" s="22" t="n">
        <v>23.1</v>
      </c>
    </row>
    <row r="283" customFormat="false" ht="15" hidden="false" customHeight="false" outlineLevel="0" collapsed="false">
      <c r="A283" s="14" t="s">
        <v>172</v>
      </c>
      <c r="B283" s="15" t="s">
        <v>190</v>
      </c>
      <c r="C283" s="16" t="n">
        <v>34761000</v>
      </c>
      <c r="D283" s="16" t="n">
        <v>39285000</v>
      </c>
      <c r="E283" s="10" t="n">
        <v>4524000</v>
      </c>
      <c r="F283" s="23" t="n">
        <v>13</v>
      </c>
    </row>
    <row r="284" customFormat="false" ht="15" hidden="false" customHeight="false" outlineLevel="0" collapsed="false">
      <c r="A284" s="7" t="s">
        <v>174</v>
      </c>
      <c r="B284" s="8" t="s">
        <v>185</v>
      </c>
      <c r="C284" s="9" t="n">
        <v>151068000</v>
      </c>
      <c r="D284" s="9" t="n">
        <v>219520000</v>
      </c>
      <c r="E284" s="10" t="n">
        <v>68452000</v>
      </c>
      <c r="F284" s="22" t="n">
        <v>45.3</v>
      </c>
    </row>
    <row r="285" customFormat="false" ht="15" hidden="false" customHeight="false" outlineLevel="0" collapsed="false">
      <c r="A285" s="14" t="s">
        <v>174</v>
      </c>
      <c r="B285" s="15" t="s">
        <v>186</v>
      </c>
      <c r="C285" s="16" t="n">
        <v>226602000</v>
      </c>
      <c r="D285" s="16" t="n">
        <v>273043000</v>
      </c>
      <c r="E285" s="10" t="n">
        <v>46441000</v>
      </c>
      <c r="F285" s="23" t="n">
        <v>20.5</v>
      </c>
    </row>
    <row r="286" customFormat="false" ht="15" hidden="false" customHeight="false" outlineLevel="0" collapsed="false">
      <c r="A286" s="7" t="s">
        <v>174</v>
      </c>
      <c r="B286" s="8" t="s">
        <v>187</v>
      </c>
      <c r="C286" s="9" t="n">
        <v>94417000</v>
      </c>
      <c r="D286" s="9" t="n">
        <v>134789000</v>
      </c>
      <c r="E286" s="10" t="n">
        <v>40372000</v>
      </c>
      <c r="F286" s="22" t="n">
        <v>42.8</v>
      </c>
    </row>
    <row r="287" customFormat="false" ht="15" hidden="false" customHeight="false" outlineLevel="0" collapsed="false">
      <c r="A287" s="14" t="s">
        <v>174</v>
      </c>
      <c r="B287" s="15" t="s">
        <v>188</v>
      </c>
      <c r="C287" s="16" t="n">
        <v>1133008000</v>
      </c>
      <c r="D287" s="16" t="n">
        <v>1607077000</v>
      </c>
      <c r="E287" s="10" t="n">
        <v>474069000</v>
      </c>
      <c r="F287" s="23" t="n">
        <v>41.8</v>
      </c>
    </row>
    <row r="288" customFormat="false" ht="15" hidden="false" customHeight="false" outlineLevel="0" collapsed="false">
      <c r="A288" s="7" t="s">
        <v>174</v>
      </c>
      <c r="B288" s="8" t="s">
        <v>189</v>
      </c>
      <c r="C288" s="9" t="n">
        <v>188835000</v>
      </c>
      <c r="D288" s="9" t="n">
        <v>201251000</v>
      </c>
      <c r="E288" s="10" t="n">
        <v>12416000</v>
      </c>
      <c r="F288" s="22" t="n">
        <v>6.6</v>
      </c>
    </row>
    <row r="289" customFormat="false" ht="15" hidden="false" customHeight="false" outlineLevel="0" collapsed="false">
      <c r="A289" s="14" t="s">
        <v>174</v>
      </c>
      <c r="B289" s="15" t="s">
        <v>190</v>
      </c>
      <c r="C289" s="16" t="n">
        <v>94417000</v>
      </c>
      <c r="D289" s="16" t="n">
        <v>129729000</v>
      </c>
      <c r="E289" s="10" t="n">
        <v>35312000</v>
      </c>
      <c r="F289" s="23" t="n">
        <v>37.4</v>
      </c>
    </row>
    <row r="290" customFormat="false" ht="15" hidden="false" customHeight="false" outlineLevel="0" collapsed="false">
      <c r="A290" s="7" t="s">
        <v>176</v>
      </c>
      <c r="B290" s="8" t="s">
        <v>185</v>
      </c>
      <c r="C290" s="9" t="n">
        <v>46578000</v>
      </c>
      <c r="D290" s="9" t="n">
        <v>53517000</v>
      </c>
      <c r="E290" s="10" t="n">
        <v>6939000</v>
      </c>
      <c r="F290" s="22" t="n">
        <v>14.9</v>
      </c>
    </row>
    <row r="291" customFormat="false" ht="15" hidden="false" customHeight="false" outlineLevel="0" collapsed="false">
      <c r="A291" s="14" t="s">
        <v>176</v>
      </c>
      <c r="B291" s="15" t="s">
        <v>186</v>
      </c>
      <c r="C291" s="16" t="n">
        <v>69867000</v>
      </c>
      <c r="D291" s="16" t="n">
        <v>102044000</v>
      </c>
      <c r="E291" s="10" t="n">
        <v>32177000</v>
      </c>
      <c r="F291" s="23" t="n">
        <v>46.1</v>
      </c>
    </row>
    <row r="292" customFormat="false" ht="15" hidden="false" customHeight="false" outlineLevel="0" collapsed="false">
      <c r="A292" s="7" t="s">
        <v>176</v>
      </c>
      <c r="B292" s="8" t="s">
        <v>187</v>
      </c>
      <c r="C292" s="9" t="n">
        <v>29111000</v>
      </c>
      <c r="D292" s="9" t="n">
        <v>35068000</v>
      </c>
      <c r="E292" s="10" t="n">
        <v>5957000</v>
      </c>
      <c r="F292" s="22" t="n">
        <v>20.5</v>
      </c>
    </row>
    <row r="293" customFormat="false" ht="15" hidden="false" customHeight="false" outlineLevel="0" collapsed="false">
      <c r="A293" s="14" t="s">
        <v>176</v>
      </c>
      <c r="B293" s="15" t="s">
        <v>188</v>
      </c>
      <c r="C293" s="16" t="n">
        <v>349334000</v>
      </c>
      <c r="D293" s="16" t="n">
        <v>486388000</v>
      </c>
      <c r="E293" s="10" t="n">
        <v>137054000</v>
      </c>
      <c r="F293" s="23" t="n">
        <v>39.2</v>
      </c>
    </row>
    <row r="294" customFormat="false" ht="15" hidden="false" customHeight="false" outlineLevel="0" collapsed="false">
      <c r="A294" s="7" t="s">
        <v>176</v>
      </c>
      <c r="B294" s="8" t="s">
        <v>189</v>
      </c>
      <c r="C294" s="9" t="n">
        <v>58222000</v>
      </c>
      <c r="D294" s="9" t="n">
        <v>62280000</v>
      </c>
      <c r="E294" s="10" t="n">
        <v>4058000</v>
      </c>
      <c r="F294" s="22" t="n">
        <v>7</v>
      </c>
    </row>
    <row r="295" customFormat="false" ht="15" hidden="false" customHeight="false" outlineLevel="0" collapsed="false">
      <c r="A295" s="14" t="s">
        <v>176</v>
      </c>
      <c r="B295" s="15" t="s">
        <v>190</v>
      </c>
      <c r="C295" s="16" t="n">
        <v>29111000</v>
      </c>
      <c r="D295" s="16" t="n">
        <v>31415000</v>
      </c>
      <c r="E295" s="10" t="n">
        <v>2304000</v>
      </c>
      <c r="F295" s="23" t="n">
        <v>7.9</v>
      </c>
    </row>
    <row r="296" customFormat="false" ht="15" hidden="false" customHeight="false" outlineLevel="0" collapsed="false">
      <c r="A296" s="7" t="s">
        <v>178</v>
      </c>
      <c r="B296" s="8" t="s">
        <v>185</v>
      </c>
      <c r="C296" s="9" t="n">
        <v>96335000</v>
      </c>
      <c r="D296" s="9" t="n">
        <v>120627000</v>
      </c>
      <c r="E296" s="10" t="n">
        <v>24292000</v>
      </c>
      <c r="F296" s="22" t="n">
        <v>25.2</v>
      </c>
    </row>
    <row r="297" customFormat="false" ht="15" hidden="false" customHeight="false" outlineLevel="0" collapsed="false">
      <c r="A297" s="14" t="s">
        <v>178</v>
      </c>
      <c r="B297" s="15" t="s">
        <v>186</v>
      </c>
      <c r="C297" s="16" t="n">
        <v>144503000</v>
      </c>
      <c r="D297" s="16" t="n">
        <v>216659000</v>
      </c>
      <c r="E297" s="10" t="n">
        <v>72156000</v>
      </c>
      <c r="F297" s="23" t="n">
        <v>49.9</v>
      </c>
    </row>
    <row r="298" customFormat="false" ht="15" hidden="false" customHeight="false" outlineLevel="0" collapsed="false">
      <c r="A298" s="7" t="s">
        <v>178</v>
      </c>
      <c r="B298" s="8" t="s">
        <v>187</v>
      </c>
      <c r="C298" s="9" t="n">
        <v>60210000</v>
      </c>
      <c r="D298" s="9" t="n">
        <v>71878000</v>
      </c>
      <c r="E298" s="10" t="n">
        <v>11668000</v>
      </c>
      <c r="F298" s="22" t="n">
        <v>19.4</v>
      </c>
    </row>
    <row r="299" customFormat="false" ht="15" hidden="false" customHeight="false" outlineLevel="0" collapsed="false">
      <c r="A299" s="14" t="s">
        <v>178</v>
      </c>
      <c r="B299" s="15" t="s">
        <v>188</v>
      </c>
      <c r="C299" s="16" t="n">
        <v>722515000</v>
      </c>
      <c r="D299" s="16" t="n">
        <v>714681000</v>
      </c>
      <c r="E299" s="16" t="n">
        <v>-7834000</v>
      </c>
      <c r="F299" s="23" t="n">
        <v>-1.1</v>
      </c>
    </row>
    <row r="300" customFormat="false" ht="15" hidden="false" customHeight="false" outlineLevel="0" collapsed="false">
      <c r="A300" s="7" t="s">
        <v>178</v>
      </c>
      <c r="B300" s="8" t="s">
        <v>189</v>
      </c>
      <c r="C300" s="9" t="n">
        <v>120419000</v>
      </c>
      <c r="D300" s="9" t="n">
        <v>147290000</v>
      </c>
      <c r="E300" s="10" t="n">
        <v>26871000</v>
      </c>
      <c r="F300" s="22" t="n">
        <v>22.3</v>
      </c>
    </row>
    <row r="301" customFormat="false" ht="15" hidden="false" customHeight="false" outlineLevel="0" collapsed="false">
      <c r="A301" s="14" t="s">
        <v>178</v>
      </c>
      <c r="B301" s="15" t="s">
        <v>190</v>
      </c>
      <c r="C301" s="16" t="n">
        <v>60210000</v>
      </c>
      <c r="D301" s="16" t="n">
        <v>66657000</v>
      </c>
      <c r="E301" s="10" t="n">
        <v>6447000</v>
      </c>
      <c r="F301" s="23" t="n">
        <v>10.7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7" min="3" style="0" width="22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34.5" hidden="false" customHeight="true" outlineLevel="0" collapsed="false">
      <c r="A1" s="24" t="s">
        <v>23</v>
      </c>
      <c r="B1" s="24" t="s">
        <v>191</v>
      </c>
      <c r="C1" s="24" t="s">
        <v>192</v>
      </c>
      <c r="D1" s="24" t="s">
        <v>193</v>
      </c>
      <c r="E1" s="24" t="s">
        <v>194</v>
      </c>
      <c r="F1" s="24" t="s">
        <v>195</v>
      </c>
      <c r="G1" s="24" t="s">
        <v>196</v>
      </c>
      <c r="H1" s="24" t="s">
        <v>197</v>
      </c>
      <c r="I1" s="24" t="s">
        <v>198</v>
      </c>
    </row>
    <row r="2" customFormat="false" ht="15" hidden="false" customHeight="false" outlineLevel="0" collapsed="false">
      <c r="A2" s="8" t="s">
        <v>39</v>
      </c>
      <c r="B2" s="7" t="n">
        <v>8</v>
      </c>
      <c r="C2" s="25" t="n">
        <v>8100351000</v>
      </c>
      <c r="D2" s="25" t="n">
        <v>11541559000</v>
      </c>
      <c r="E2" s="22" t="n">
        <v>42.5</v>
      </c>
      <c r="F2" s="26" t="n">
        <v>30.8</v>
      </c>
      <c r="G2" s="26" t="n">
        <v>39.1</v>
      </c>
      <c r="H2" s="22" t="n">
        <v>100</v>
      </c>
      <c r="I2" s="27" t="n">
        <f aca="false">MAX(0,MIN(100,100-E2-H2))</f>
        <v>0</v>
      </c>
    </row>
    <row r="3" customFormat="false" ht="15" hidden="false" customHeight="false" outlineLevel="0" collapsed="false">
      <c r="A3" s="15" t="s">
        <v>46</v>
      </c>
      <c r="B3" s="14" t="n">
        <v>2</v>
      </c>
      <c r="C3" s="28" t="n">
        <v>683969000</v>
      </c>
      <c r="D3" s="28" t="n">
        <v>831560000</v>
      </c>
      <c r="E3" s="23" t="n">
        <v>21.6</v>
      </c>
      <c r="F3" s="29" t="n">
        <v>41</v>
      </c>
      <c r="G3" s="29" t="n">
        <v>52</v>
      </c>
      <c r="H3" s="23" t="n">
        <v>100</v>
      </c>
      <c r="I3" s="30" t="n">
        <f aca="false">MAX(0,MIN(100,100-E3-H3))</f>
        <v>0</v>
      </c>
    </row>
    <row r="4" customFormat="false" ht="15" hidden="false" customHeight="false" outlineLevel="0" collapsed="false">
      <c r="A4" s="8" t="s">
        <v>53</v>
      </c>
      <c r="B4" s="7" t="n">
        <v>6</v>
      </c>
      <c r="C4" s="25" t="n">
        <v>5365012000</v>
      </c>
      <c r="D4" s="25" t="n">
        <v>6373825000</v>
      </c>
      <c r="E4" s="22" t="n">
        <v>18.8</v>
      </c>
      <c r="F4" s="26" t="n">
        <v>32.7</v>
      </c>
      <c r="G4" s="26" t="n">
        <v>42.7</v>
      </c>
      <c r="H4" s="22" t="n">
        <v>100</v>
      </c>
      <c r="I4" s="27" t="n">
        <f aca="false">MAX(0,MIN(100,100-E4-H4))</f>
        <v>0</v>
      </c>
    </row>
    <row r="5" customFormat="false" ht="15" hidden="false" customHeight="false" outlineLevel="0" collapsed="false">
      <c r="A5" s="15" t="s">
        <v>64</v>
      </c>
      <c r="B5" s="14" t="n">
        <v>6</v>
      </c>
      <c r="C5" s="28" t="n">
        <v>6141159000</v>
      </c>
      <c r="D5" s="28" t="n">
        <v>8161160000</v>
      </c>
      <c r="E5" s="23" t="n">
        <v>32.9</v>
      </c>
      <c r="F5" s="29" t="n">
        <v>24.3</v>
      </c>
      <c r="G5" s="29" t="n">
        <v>31.3</v>
      </c>
      <c r="H5" s="23" t="n">
        <v>100</v>
      </c>
      <c r="I5" s="30" t="n">
        <f aca="false">MAX(0,MIN(100,100-E5-H5))</f>
        <v>0</v>
      </c>
    </row>
    <row r="6" customFormat="false" ht="15" hidden="false" customHeight="false" outlineLevel="0" collapsed="false">
      <c r="A6" s="8" t="s">
        <v>68</v>
      </c>
      <c r="B6" s="7" t="n">
        <v>4</v>
      </c>
      <c r="C6" s="25" t="n">
        <v>4650451000</v>
      </c>
      <c r="D6" s="25" t="n">
        <v>5635945000</v>
      </c>
      <c r="E6" s="22" t="n">
        <v>21.2</v>
      </c>
      <c r="F6" s="26" t="n">
        <v>26</v>
      </c>
      <c r="G6" s="26" t="n">
        <v>38.8</v>
      </c>
      <c r="H6" s="22" t="n">
        <v>100</v>
      </c>
      <c r="I6" s="27" t="n">
        <f aca="false">MAX(0,MIN(100,100-E6-H6))</f>
        <v>0</v>
      </c>
    </row>
    <row r="7" customFormat="false" ht="15" hidden="false" customHeight="false" outlineLevel="0" collapsed="false">
      <c r="A7" s="15" t="s">
        <v>73</v>
      </c>
      <c r="B7" s="14" t="n">
        <v>5</v>
      </c>
      <c r="C7" s="28" t="n">
        <v>6298809000</v>
      </c>
      <c r="D7" s="28" t="n">
        <v>8065462000</v>
      </c>
      <c r="E7" s="23" t="n">
        <v>28</v>
      </c>
      <c r="F7" s="29" t="n">
        <v>36.6</v>
      </c>
      <c r="G7" s="29" t="n">
        <v>49.4</v>
      </c>
      <c r="H7" s="23" t="n">
        <v>100</v>
      </c>
      <c r="I7" s="30" t="n">
        <f aca="false">MAX(0,MIN(100,100-E7-H7))</f>
        <v>0</v>
      </c>
    </row>
    <row r="8" customFormat="false" ht="15" hidden="false" customHeight="false" outlineLevel="0" collapsed="false">
      <c r="A8" s="8" t="s">
        <v>91</v>
      </c>
      <c r="B8" s="7" t="n">
        <v>3</v>
      </c>
      <c r="C8" s="25" t="n">
        <v>1766405000</v>
      </c>
      <c r="D8" s="25" t="n">
        <v>2103045000</v>
      </c>
      <c r="E8" s="22" t="n">
        <v>19.1</v>
      </c>
      <c r="F8" s="26" t="n">
        <v>28.3</v>
      </c>
      <c r="G8" s="26" t="n">
        <v>43.3</v>
      </c>
      <c r="H8" s="22" t="n">
        <v>100</v>
      </c>
      <c r="I8" s="27" t="n">
        <f aca="false">MAX(0,MIN(100,100-E8-H8))</f>
        <v>0</v>
      </c>
    </row>
    <row r="9" customFormat="false" ht="15" hidden="false" customHeight="false" outlineLevel="0" collapsed="false">
      <c r="A9" s="15" t="s">
        <v>112</v>
      </c>
      <c r="B9" s="14" t="n">
        <v>10</v>
      </c>
      <c r="C9" s="28" t="n">
        <v>9565520000</v>
      </c>
      <c r="D9" s="28" t="n">
        <v>12572607000</v>
      </c>
      <c r="E9" s="23" t="n">
        <v>31.4</v>
      </c>
      <c r="F9" s="29" t="n">
        <v>28.3</v>
      </c>
      <c r="G9" s="29" t="n">
        <v>40.8</v>
      </c>
      <c r="H9" s="23" t="n">
        <v>100</v>
      </c>
      <c r="I9" s="30" t="n">
        <f aca="false">MAX(0,MIN(100,100-E9-H9))</f>
        <v>0</v>
      </c>
    </row>
    <row r="10" customFormat="false" ht="15" hidden="false" customHeight="false" outlineLevel="0" collapsed="false">
      <c r="A10" s="8" t="s">
        <v>124</v>
      </c>
      <c r="B10" s="7" t="n">
        <v>4</v>
      </c>
      <c r="C10" s="25" t="n">
        <v>5584073000</v>
      </c>
      <c r="D10" s="25" t="n">
        <v>7437404000</v>
      </c>
      <c r="E10" s="22" t="n">
        <v>33.2</v>
      </c>
      <c r="F10" s="26" t="n">
        <v>20</v>
      </c>
      <c r="G10" s="26" t="n">
        <v>25.5</v>
      </c>
      <c r="H10" s="22" t="n">
        <v>100</v>
      </c>
      <c r="I10" s="27" t="n">
        <f aca="false">MAX(0,MIN(100,100-E10-H10))</f>
        <v>0</v>
      </c>
    </row>
    <row r="11" customFormat="false" ht="15" hidden="false" customHeight="false" outlineLevel="0" collapsed="false">
      <c r="A11" s="15" t="s">
        <v>144</v>
      </c>
      <c r="B11" s="14" t="n">
        <v>2</v>
      </c>
      <c r="C11" s="28" t="n">
        <v>2328990000</v>
      </c>
      <c r="D11" s="28" t="n">
        <v>2844503000</v>
      </c>
      <c r="E11" s="23" t="n">
        <v>22.1</v>
      </c>
      <c r="F11" s="29" t="n">
        <v>29.5</v>
      </c>
      <c r="G11" s="29" t="n">
        <v>41.5</v>
      </c>
      <c r="H11" s="23" t="n">
        <v>100</v>
      </c>
      <c r="I11" s="30" t="n">
        <f aca="false">MAX(0,MIN(100,100-E11-H11))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55"/>
  </cols>
  <sheetData>
    <row r="2" customFormat="false" ht="24.75" hidden="false" customHeight="true" outlineLevel="0" collapsed="false">
      <c r="B2" s="31" t="s">
        <v>199</v>
      </c>
      <c r="C2" s="31" t="s">
        <v>200</v>
      </c>
      <c r="D2" s="31" t="s">
        <v>201</v>
      </c>
      <c r="E2" s="31" t="s">
        <v>202</v>
      </c>
    </row>
    <row r="3" customFormat="false" ht="21.75" hidden="false" customHeight="true" outlineLevel="0" collapsed="false">
      <c r="B3" s="32" t="s">
        <v>203</v>
      </c>
      <c r="C3" s="32"/>
      <c r="D3" s="32"/>
      <c r="E3" s="32"/>
    </row>
    <row r="4" customFormat="false" ht="18" hidden="false" customHeight="true" outlineLevel="0" collapsed="false">
      <c r="B4" s="33"/>
      <c r="C4" s="34" t="s">
        <v>19</v>
      </c>
      <c r="D4" s="33" t="s">
        <v>204</v>
      </c>
      <c r="E4" s="35" t="s">
        <v>205</v>
      </c>
    </row>
    <row r="5" customFormat="false" ht="18" hidden="false" customHeight="true" outlineLevel="0" collapsed="false">
      <c r="B5" s="33"/>
      <c r="C5" s="34" t="s">
        <v>20</v>
      </c>
      <c r="D5" s="33" t="s">
        <v>204</v>
      </c>
      <c r="E5" s="35" t="s">
        <v>206</v>
      </c>
    </row>
    <row r="6" customFormat="false" ht="18" hidden="false" customHeight="true" outlineLevel="0" collapsed="false">
      <c r="B6" s="33"/>
      <c r="C6" s="34" t="s">
        <v>21</v>
      </c>
      <c r="D6" s="33" t="s">
        <v>204</v>
      </c>
      <c r="E6" s="35" t="s">
        <v>207</v>
      </c>
    </row>
    <row r="7" customFormat="false" ht="18" hidden="false" customHeight="true" outlineLevel="0" collapsed="false">
      <c r="B7" s="33"/>
      <c r="C7" s="34" t="s">
        <v>22</v>
      </c>
      <c r="D7" s="33" t="s">
        <v>204</v>
      </c>
      <c r="E7" s="35" t="s">
        <v>208</v>
      </c>
    </row>
    <row r="8" customFormat="false" ht="18" hidden="false" customHeight="true" outlineLevel="0" collapsed="false">
      <c r="B8" s="33"/>
      <c r="C8" s="34" t="s">
        <v>23</v>
      </c>
      <c r="D8" s="33" t="s">
        <v>204</v>
      </c>
      <c r="E8" s="35" t="s">
        <v>209</v>
      </c>
    </row>
    <row r="9" customFormat="false" ht="18" hidden="false" customHeight="true" outlineLevel="0" collapsed="false">
      <c r="B9" s="33"/>
      <c r="C9" s="34" t="s">
        <v>24</v>
      </c>
      <c r="D9" s="33" t="s">
        <v>204</v>
      </c>
      <c r="E9" s="35" t="s">
        <v>210</v>
      </c>
    </row>
    <row r="10" customFormat="false" ht="18" hidden="false" customHeight="true" outlineLevel="0" collapsed="false">
      <c r="B10" s="33"/>
      <c r="C10" s="34" t="s">
        <v>25</v>
      </c>
      <c r="D10" s="33" t="s">
        <v>211</v>
      </c>
      <c r="E10" s="35" t="s">
        <v>212</v>
      </c>
    </row>
    <row r="11" customFormat="false" ht="18" hidden="false" customHeight="true" outlineLevel="0" collapsed="false">
      <c r="B11" s="33"/>
      <c r="C11" s="34" t="s">
        <v>26</v>
      </c>
      <c r="D11" s="33" t="s">
        <v>213</v>
      </c>
      <c r="E11" s="35" t="s">
        <v>214</v>
      </c>
    </row>
    <row r="12" customFormat="false" ht="18" hidden="false" customHeight="true" outlineLevel="0" collapsed="false">
      <c r="B12" s="33"/>
      <c r="C12" s="34" t="s">
        <v>27</v>
      </c>
      <c r="D12" s="33" t="s">
        <v>213</v>
      </c>
      <c r="E12" s="35" t="s">
        <v>215</v>
      </c>
    </row>
    <row r="13" customFormat="false" ht="18" hidden="false" customHeight="true" outlineLevel="0" collapsed="false">
      <c r="B13" s="33"/>
      <c r="C13" s="34" t="s">
        <v>28</v>
      </c>
      <c r="D13" s="33" t="s">
        <v>213</v>
      </c>
      <c r="E13" s="35" t="s">
        <v>216</v>
      </c>
    </row>
    <row r="14" customFormat="false" ht="18" hidden="false" customHeight="true" outlineLevel="0" collapsed="false">
      <c r="B14" s="33"/>
      <c r="C14" s="34" t="s">
        <v>29</v>
      </c>
      <c r="D14" s="33" t="s">
        <v>211</v>
      </c>
      <c r="E14" s="35" t="s">
        <v>217</v>
      </c>
    </row>
    <row r="15" customFormat="false" ht="18" hidden="false" customHeight="true" outlineLevel="0" collapsed="false">
      <c r="B15" s="33"/>
      <c r="C15" s="34" t="s">
        <v>30</v>
      </c>
      <c r="D15" s="33" t="s">
        <v>211</v>
      </c>
      <c r="E15" s="35" t="s">
        <v>218</v>
      </c>
    </row>
    <row r="16" customFormat="false" ht="18" hidden="false" customHeight="true" outlineLevel="0" collapsed="false">
      <c r="B16" s="33"/>
      <c r="C16" s="34" t="s">
        <v>31</v>
      </c>
      <c r="D16" s="33" t="s">
        <v>211</v>
      </c>
      <c r="E16" s="35" t="s">
        <v>219</v>
      </c>
    </row>
    <row r="17" customFormat="false" ht="18" hidden="false" customHeight="true" outlineLevel="0" collapsed="false">
      <c r="B17" s="33"/>
      <c r="C17" s="34" t="s">
        <v>32</v>
      </c>
      <c r="D17" s="33" t="s">
        <v>211</v>
      </c>
      <c r="E17" s="35" t="s">
        <v>220</v>
      </c>
    </row>
    <row r="18" customFormat="false" ht="18" hidden="false" customHeight="true" outlineLevel="0" collapsed="false">
      <c r="B18" s="33"/>
      <c r="C18" s="34" t="s">
        <v>33</v>
      </c>
      <c r="D18" s="33" t="s">
        <v>204</v>
      </c>
      <c r="E18" s="35" t="s">
        <v>221</v>
      </c>
    </row>
    <row r="19" customFormat="false" ht="18" hidden="false" customHeight="true" outlineLevel="0" collapsed="false">
      <c r="B19" s="33"/>
      <c r="C19" s="34" t="s">
        <v>34</v>
      </c>
      <c r="D19" s="33" t="s">
        <v>204</v>
      </c>
      <c r="E19" s="35" t="s">
        <v>222</v>
      </c>
    </row>
    <row r="20" customFormat="false" ht="21.75" hidden="false" customHeight="true" outlineLevel="0" collapsed="false">
      <c r="B20" s="36" t="s">
        <v>223</v>
      </c>
      <c r="C20" s="36"/>
      <c r="D20" s="36"/>
      <c r="E20" s="36"/>
    </row>
    <row r="21" customFormat="false" ht="18" hidden="false" customHeight="true" outlineLevel="0" collapsed="false">
      <c r="B21" s="37"/>
      <c r="C21" s="38" t="s">
        <v>19</v>
      </c>
      <c r="D21" s="37" t="s">
        <v>204</v>
      </c>
      <c r="E21" s="39" t="s">
        <v>224</v>
      </c>
    </row>
    <row r="22" customFormat="false" ht="18" hidden="false" customHeight="true" outlineLevel="0" collapsed="false">
      <c r="B22" s="37"/>
      <c r="C22" s="38" t="s">
        <v>180</v>
      </c>
      <c r="D22" s="37" t="s">
        <v>204</v>
      </c>
      <c r="E22" s="39" t="s">
        <v>225</v>
      </c>
    </row>
    <row r="23" customFormat="false" ht="18" hidden="false" customHeight="true" outlineLevel="0" collapsed="false">
      <c r="B23" s="37"/>
      <c r="C23" s="38" t="s">
        <v>181</v>
      </c>
      <c r="D23" s="37" t="s">
        <v>213</v>
      </c>
      <c r="E23" s="39" t="s">
        <v>226</v>
      </c>
    </row>
    <row r="24" customFormat="false" ht="18" hidden="false" customHeight="true" outlineLevel="0" collapsed="false">
      <c r="B24" s="37"/>
      <c r="C24" s="38" t="s">
        <v>182</v>
      </c>
      <c r="D24" s="37" t="s">
        <v>213</v>
      </c>
      <c r="E24" s="39" t="s">
        <v>227</v>
      </c>
    </row>
    <row r="25" customFormat="false" ht="18" hidden="false" customHeight="true" outlineLevel="0" collapsed="false">
      <c r="B25" s="37"/>
      <c r="C25" s="38" t="s">
        <v>183</v>
      </c>
      <c r="D25" s="37" t="s">
        <v>213</v>
      </c>
      <c r="E25" s="39" t="s">
        <v>228</v>
      </c>
    </row>
    <row r="26" customFormat="false" ht="18" hidden="false" customHeight="true" outlineLevel="0" collapsed="false">
      <c r="B26" s="37"/>
      <c r="C26" s="38" t="s">
        <v>184</v>
      </c>
      <c r="D26" s="37" t="s">
        <v>229</v>
      </c>
      <c r="E26" s="39" t="s">
        <v>230</v>
      </c>
    </row>
    <row r="27" customFormat="false" ht="21.75" hidden="false" customHeight="true" outlineLevel="0" collapsed="false">
      <c r="B27" s="40" t="s">
        <v>231</v>
      </c>
      <c r="C27" s="40"/>
      <c r="D27" s="40"/>
      <c r="E27" s="40"/>
    </row>
    <row r="28" customFormat="false" ht="18" hidden="false" customHeight="true" outlineLevel="0" collapsed="false">
      <c r="B28" s="41"/>
      <c r="C28" s="42" t="s">
        <v>23</v>
      </c>
      <c r="D28" s="41" t="s">
        <v>204</v>
      </c>
      <c r="E28" s="43" t="s">
        <v>232</v>
      </c>
    </row>
    <row r="29" customFormat="false" ht="18" hidden="false" customHeight="true" outlineLevel="0" collapsed="false">
      <c r="B29" s="41"/>
      <c r="C29" s="42" t="s">
        <v>191</v>
      </c>
      <c r="D29" s="41" t="s">
        <v>211</v>
      </c>
      <c r="E29" s="43" t="s">
        <v>233</v>
      </c>
    </row>
    <row r="30" customFormat="false" ht="18" hidden="false" customHeight="true" outlineLevel="0" collapsed="false">
      <c r="B30" s="41"/>
      <c r="C30" s="42" t="s">
        <v>192</v>
      </c>
      <c r="D30" s="41" t="s">
        <v>213</v>
      </c>
      <c r="E30" s="43" t="s">
        <v>234</v>
      </c>
    </row>
    <row r="31" customFormat="false" ht="18" hidden="false" customHeight="true" outlineLevel="0" collapsed="false">
      <c r="B31" s="41"/>
      <c r="C31" s="42" t="s">
        <v>193</v>
      </c>
      <c r="D31" s="41" t="s">
        <v>213</v>
      </c>
      <c r="E31" s="43" t="s">
        <v>235</v>
      </c>
    </row>
    <row r="32" customFormat="false" ht="18" hidden="false" customHeight="true" outlineLevel="0" collapsed="false">
      <c r="B32" s="41"/>
      <c r="C32" s="42" t="s">
        <v>194</v>
      </c>
      <c r="D32" s="41" t="s">
        <v>229</v>
      </c>
      <c r="E32" s="43" t="s">
        <v>236</v>
      </c>
    </row>
    <row r="33" customFormat="false" ht="18" hidden="false" customHeight="true" outlineLevel="0" collapsed="false">
      <c r="B33" s="41"/>
      <c r="C33" s="42" t="s">
        <v>195</v>
      </c>
      <c r="D33" s="41" t="s">
        <v>229</v>
      </c>
      <c r="E33" s="43" t="s">
        <v>237</v>
      </c>
    </row>
    <row r="34" customFormat="false" ht="18" hidden="false" customHeight="true" outlineLevel="0" collapsed="false">
      <c r="B34" s="41"/>
      <c r="C34" s="42" t="s">
        <v>196</v>
      </c>
      <c r="D34" s="41" t="s">
        <v>229</v>
      </c>
      <c r="E34" s="43" t="s">
        <v>238</v>
      </c>
    </row>
    <row r="35" customFormat="false" ht="18" hidden="false" customHeight="true" outlineLevel="0" collapsed="false">
      <c r="B35" s="41"/>
      <c r="C35" s="42" t="s">
        <v>197</v>
      </c>
      <c r="D35" s="41" t="s">
        <v>229</v>
      </c>
      <c r="E35" s="43" t="s">
        <v>239</v>
      </c>
    </row>
    <row r="36" customFormat="false" ht="18" hidden="false" customHeight="true" outlineLevel="0" collapsed="false">
      <c r="B36" s="41"/>
      <c r="C36" s="42" t="s">
        <v>198</v>
      </c>
      <c r="D36" s="41" t="s">
        <v>229</v>
      </c>
      <c r="E36" s="43" t="s">
        <v>240</v>
      </c>
    </row>
  </sheetData>
  <mergeCells count="3">
    <mergeCell ref="B3:E3"/>
    <mergeCell ref="B20:E20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2026-04-22T08:55:38Z</dcterms:created>
  <dc:creator>openpyxl</dc:creator>
  <dc:description/>
  <dc:language>en-US</dc:language>
  <cp:lastModifiedBy/>
  <dcterms:modified xsi:type="dcterms:W3CDTF">2026-04-22T08:55:39Z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